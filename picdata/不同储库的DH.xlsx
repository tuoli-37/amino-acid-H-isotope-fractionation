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1\dataanalysis\"/>
    </mc:Choice>
  </mc:AlternateContent>
  <xr:revisionPtr revIDLastSave="0" documentId="13_ncr:1_{32D61E83-341F-467E-8030-DFB9DE50ED7D}" xr6:coauthVersionLast="47" xr6:coauthVersionMax="47" xr10:uidLastSave="{00000000-0000-0000-0000-000000000000}"/>
  <bookViews>
    <workbookView xWindow="12668" yWindow="975" windowWidth="10372" windowHeight="12608" activeTab="1" xr2:uid="{00000000-000D-0000-FFFF-FFFF00000000}"/>
  </bookViews>
  <sheets>
    <sheet name="氢储库" sheetId="1" r:id="rId1"/>
    <sheet name="水1" sheetId="2" r:id="rId2"/>
    <sheet name="水储库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F2" i="2"/>
  <c r="G4" i="2"/>
  <c r="F4" i="2"/>
  <c r="G3" i="2"/>
  <c r="F3" i="2"/>
  <c r="C5" i="1"/>
  <c r="B5" i="1"/>
  <c r="C15" i="1"/>
  <c r="B15" i="1"/>
  <c r="C14" i="1"/>
  <c r="B14" i="1"/>
  <c r="C12" i="1"/>
  <c r="B12" i="1"/>
  <c r="B13" i="1"/>
</calcChain>
</file>

<file path=xl/sharedStrings.xml><?xml version="1.0" encoding="utf-8"?>
<sst xmlns="http://schemas.openxmlformats.org/spreadsheetml/2006/main" count="78" uniqueCount="50">
  <si>
    <t>CM</t>
    <phoneticPr fontId="1" type="noConversion"/>
  </si>
  <si>
    <t>CR</t>
    <phoneticPr fontId="1" type="noConversion"/>
  </si>
  <si>
    <t>CM(us)</t>
    <phoneticPr fontId="1" type="noConversion"/>
  </si>
  <si>
    <t>CI</t>
    <phoneticPr fontId="1" type="noConversion"/>
  </si>
  <si>
    <t>CO</t>
    <phoneticPr fontId="1" type="noConversion"/>
  </si>
  <si>
    <t>Tagish Lake</t>
    <phoneticPr fontId="1" type="noConversion"/>
  </si>
  <si>
    <t xml:space="preserve"> Alexander 2012</t>
    <phoneticPr fontId="1" type="noConversion"/>
  </si>
  <si>
    <t>Vsmow</t>
    <phoneticPr fontId="1" type="noConversion"/>
  </si>
  <si>
    <t>bulk earth</t>
    <phoneticPr fontId="1" type="noConversion"/>
  </si>
  <si>
    <t>1P/Halley</t>
    <phoneticPr fontId="1" type="noConversion"/>
  </si>
  <si>
    <t>protosolar disk</t>
    <phoneticPr fontId="1" type="noConversion"/>
  </si>
  <si>
    <t>Molucular clouds</t>
    <phoneticPr fontId="1" type="noConversion"/>
  </si>
  <si>
    <t>Hyakutake</t>
  </si>
  <si>
    <t xml:space="preserve">Hale-Bopp </t>
    <phoneticPr fontId="1" type="noConversion"/>
  </si>
  <si>
    <t xml:space="preserve">103P/Hartley 2 </t>
    <phoneticPr fontId="1" type="noConversion"/>
  </si>
  <si>
    <t>CV(us)</t>
    <phoneticPr fontId="1" type="noConversion"/>
  </si>
  <si>
    <t>CR(us)</t>
    <phoneticPr fontId="1" type="noConversion"/>
  </si>
  <si>
    <t>min</t>
    <phoneticPr fontId="1" type="noConversion"/>
  </si>
  <si>
    <t>max</t>
    <phoneticPr fontId="1" type="noConversion"/>
  </si>
  <si>
    <t>value</t>
    <phoneticPr fontId="1" type="noConversion"/>
  </si>
  <si>
    <t>sigma</t>
    <phoneticPr fontId="1" type="noConversion"/>
  </si>
  <si>
    <t>name</t>
    <phoneticPr fontId="1" type="noConversion"/>
  </si>
  <si>
    <t>Interstellar H2O</t>
    <phoneticPr fontId="1" type="noConversion"/>
  </si>
  <si>
    <t>Interstellar Ices</t>
    <phoneticPr fontId="1" type="noConversion"/>
  </si>
  <si>
    <t>cleeves 2014</t>
    <phoneticPr fontId="1" type="noConversion"/>
  </si>
  <si>
    <t>Bulk Earth</t>
    <phoneticPr fontId="1" type="noConversion"/>
  </si>
  <si>
    <t>Proto Sun(H2)</t>
    <phoneticPr fontId="1" type="noConversion"/>
  </si>
  <si>
    <t>ROBERT 1999</t>
    <phoneticPr fontId="1" type="noConversion"/>
  </si>
  <si>
    <t>Rwater_value</t>
    <phoneticPr fontId="4" type="noConversion"/>
  </si>
  <si>
    <t>Rwater_sigma</t>
    <phoneticPr fontId="4" type="noConversion"/>
  </si>
  <si>
    <t>category</t>
    <phoneticPr fontId="4" type="noConversion"/>
  </si>
  <si>
    <t>CM</t>
    <phoneticPr fontId="4" type="noConversion"/>
  </si>
  <si>
    <t>CR</t>
    <phoneticPr fontId="4" type="noConversion"/>
  </si>
  <si>
    <t>CV</t>
    <phoneticPr fontId="4" type="noConversion"/>
  </si>
  <si>
    <t>储库</t>
    <phoneticPr fontId="1" type="noConversion"/>
  </si>
  <si>
    <t>CV</t>
    <phoneticPr fontId="1" type="noConversion"/>
  </si>
  <si>
    <t>D/H_min</t>
    <phoneticPr fontId="1" type="noConversion"/>
  </si>
  <si>
    <t>D/H_max</t>
    <phoneticPr fontId="1" type="noConversion"/>
  </si>
  <si>
    <t>Enceladus value from Waite et al. (2009) is inferred from H₂/HD produced by instrumental dissociation of plume H₂O, and is therefore treated as an indirect estimate.</t>
  </si>
  <si>
    <t>enceladus</t>
    <phoneticPr fontId="1" type="noConversion"/>
  </si>
  <si>
    <t>JFC/103P/Hartley 2</t>
    <phoneticPr fontId="1" type="noConversion"/>
  </si>
  <si>
    <t>1P/Halley</t>
  </si>
  <si>
    <t>Hale-Bopp</t>
  </si>
  <si>
    <t>C/2002 T7 (LINEAR)</t>
  </si>
  <si>
    <t>8P Tuttle</t>
    <phoneticPr fontId="1" type="noConversion"/>
  </si>
  <si>
    <t>Bulkearth</t>
    <phoneticPr fontId="1" type="noConversion"/>
  </si>
  <si>
    <t>mars atomsphere</t>
    <phoneticPr fontId="1" type="noConversion"/>
  </si>
  <si>
    <t>Ryugu</t>
    <phoneticPr fontId="1" type="noConversion"/>
  </si>
  <si>
    <t>Interstellar water ice</t>
  </si>
  <si>
    <t>Protoplanetary disk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</si>
</sst>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1" fontId="0" fillId="0" borderId="0" xfId="0" applyNumberFormat="1"/>
    <xf numFmtId="0" fontId="6" fillId="0" borderId="0" xfId="0" applyFont="1"/>
  </cellXfs>
  <cellStyles count="1">
    <cellStyle name="常规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family val="3"/>
        <charset val="134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D78DCA-53F9-4885-86BA-7CE0DCDCB7B3}" name="表1" displayName="表1" ref="E1:G4" totalsRowShown="0" headerRowDxfId="0">
  <autoFilter ref="E1:G4" xr:uid="{86D78DCA-53F9-4885-86BA-7CE0DCDCB7B3}"/>
  <tableColumns count="3">
    <tableColumn id="1" xr3:uid="{E6147298-19F6-4930-864E-4D43A5AD7029}" name="储库"/>
    <tableColumn id="2" xr3:uid="{375B08D8-A76F-4F0B-B633-3219FA466482}" name="D/H_min"/>
    <tableColumn id="3" xr3:uid="{6C9D10D3-E9B2-4591-A85C-26951C8BCBD7}" name="D/H_m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zoomScale="74" workbookViewId="0">
      <selection activeCell="N17" sqref="N17"/>
    </sheetView>
  </sheetViews>
  <sheetFormatPr defaultRowHeight="13.9" x14ac:dyDescent="0.4"/>
  <cols>
    <col min="1" max="1" width="16.1328125" style="1" customWidth="1"/>
    <col min="2" max="2" width="10" customWidth="1"/>
    <col min="3" max="3" width="11.86328125" customWidth="1"/>
    <col min="14" max="14" width="32.3984375" style="1" customWidth="1"/>
    <col min="15" max="15" width="21.33203125" style="1" customWidth="1"/>
    <col min="16" max="16" width="14.46484375" customWidth="1"/>
  </cols>
  <sheetData>
    <row r="1" spans="1:17" x14ac:dyDescent="0.4">
      <c r="A1" s="1" t="s">
        <v>21</v>
      </c>
      <c r="B1" s="1" t="s">
        <v>17</v>
      </c>
      <c r="C1" s="1" t="s">
        <v>18</v>
      </c>
      <c r="O1" s="1" t="s">
        <v>21</v>
      </c>
      <c r="P1" s="1" t="s">
        <v>19</v>
      </c>
      <c r="Q1" s="1" t="s">
        <v>20</v>
      </c>
    </row>
    <row r="2" spans="1:17" ht="14.25" customHeight="1" x14ac:dyDescent="0.4">
      <c r="A2" s="1" t="s">
        <v>2</v>
      </c>
      <c r="B2" s="2">
        <v>2.8769599950349535E-4</v>
      </c>
      <c r="C2" s="3">
        <v>3.0013922692422821E-4</v>
      </c>
    </row>
    <row r="3" spans="1:17" ht="14.25" customHeight="1" x14ac:dyDescent="0.4">
      <c r="B3" s="2"/>
      <c r="C3" s="3"/>
    </row>
    <row r="4" spans="1:17" x14ac:dyDescent="0.4">
      <c r="A4" s="1" t="s">
        <v>16</v>
      </c>
      <c r="B4" s="2">
        <v>4.0032866150150812E-4</v>
      </c>
      <c r="C4" s="3">
        <v>4.8078056292866005E-4</v>
      </c>
      <c r="O4" s="1" t="s">
        <v>7</v>
      </c>
      <c r="P4" s="1">
        <v>1.5799999999999999E-4</v>
      </c>
      <c r="Q4" s="1">
        <v>0</v>
      </c>
    </row>
    <row r="5" spans="1:17" x14ac:dyDescent="0.4">
      <c r="A5" s="1" t="s">
        <v>15</v>
      </c>
      <c r="B5">
        <f>O5-P5</f>
        <v>3.97E-4</v>
      </c>
      <c r="C5">
        <f>O5+P5</f>
        <v>4.5100000000000001E-4</v>
      </c>
      <c r="N5" s="3"/>
      <c r="O5" s="3">
        <v>4.2400000000000001E-4</v>
      </c>
      <c r="P5">
        <v>2.6999999999999999E-5</v>
      </c>
    </row>
    <row r="6" spans="1:17" x14ac:dyDescent="0.4">
      <c r="A6" s="1" t="s">
        <v>11</v>
      </c>
      <c r="B6" s="1">
        <v>1E-3</v>
      </c>
      <c r="C6" s="1">
        <v>0.08</v>
      </c>
    </row>
    <row r="7" spans="1:17" x14ac:dyDescent="0.4">
      <c r="A7" s="1" t="s">
        <v>3</v>
      </c>
      <c r="B7" s="1">
        <v>6.4300000000000004E-5</v>
      </c>
      <c r="C7" s="1">
        <v>9.7600000000000001E-5</v>
      </c>
    </row>
    <row r="8" spans="1:17" x14ac:dyDescent="0.4">
      <c r="A8" s="1" t="s">
        <v>0</v>
      </c>
      <c r="B8" s="1">
        <v>8.2899999999999996E-5</v>
      </c>
      <c r="C8" s="1">
        <v>9.0099999999999995E-5</v>
      </c>
      <c r="Q8" s="1" t="s">
        <v>6</v>
      </c>
    </row>
    <row r="9" spans="1:17" x14ac:dyDescent="0.4">
      <c r="A9" s="1" t="s">
        <v>1</v>
      </c>
      <c r="B9" s="1">
        <v>1.6100000000000001E-4</v>
      </c>
      <c r="C9" s="1">
        <v>1.8799999999999999E-4</v>
      </c>
    </row>
    <row r="10" spans="1:17" x14ac:dyDescent="0.4">
      <c r="A10" s="1" t="s">
        <v>4</v>
      </c>
      <c r="B10" s="1">
        <v>8.4900000000000004E-5</v>
      </c>
      <c r="C10" s="1">
        <v>1.3200000000000001E-4</v>
      </c>
    </row>
    <row r="11" spans="1:17" x14ac:dyDescent="0.4">
      <c r="A11" s="1" t="s">
        <v>5</v>
      </c>
      <c r="B11" s="1">
        <v>1.6399999999999999E-5</v>
      </c>
      <c r="C11" s="1">
        <v>1.1400000000000001E-4</v>
      </c>
    </row>
    <row r="12" spans="1:17" x14ac:dyDescent="0.4">
      <c r="A12" s="1" t="s">
        <v>9</v>
      </c>
      <c r="B12" s="1">
        <f>P18-Q18</f>
        <v>3.0499999999999999E-4</v>
      </c>
      <c r="C12" s="1">
        <f>P18+Q18</f>
        <v>3.2699999999999998E-4</v>
      </c>
    </row>
    <row r="13" spans="1:17" x14ac:dyDescent="0.4">
      <c r="A13" t="s">
        <v>12</v>
      </c>
      <c r="B13" s="1">
        <f>P19-Q19</f>
        <v>1.9000000000000001E-4</v>
      </c>
      <c r="C13" s="1">
        <v>1E-4</v>
      </c>
    </row>
    <row r="14" spans="1:17" x14ac:dyDescent="0.4">
      <c r="A14" s="1" t="s">
        <v>13</v>
      </c>
      <c r="B14" s="1">
        <f>P20-Q20</f>
        <v>2.5000000000000001E-4</v>
      </c>
      <c r="C14" s="1">
        <f>P20+Q20</f>
        <v>4.0999999999999999E-4</v>
      </c>
    </row>
    <row r="15" spans="1:17" x14ac:dyDescent="0.4">
      <c r="A15" s="1" t="s">
        <v>14</v>
      </c>
      <c r="B15" s="1">
        <f>P21-Q21</f>
        <v>1.3700000000000002E-4</v>
      </c>
      <c r="C15" s="1">
        <f>P21+Q21</f>
        <v>1.85E-4</v>
      </c>
    </row>
    <row r="16" spans="1:17" x14ac:dyDescent="0.4">
      <c r="A16" s="1" t="s">
        <v>22</v>
      </c>
      <c r="B16">
        <v>2.9500000000000001E-4</v>
      </c>
      <c r="C16">
        <v>9.5E-4</v>
      </c>
      <c r="N16" s="1" t="s">
        <v>24</v>
      </c>
      <c r="O16" s="1" t="s">
        <v>8</v>
      </c>
      <c r="P16" s="1">
        <v>1.4899999999999999E-4</v>
      </c>
      <c r="Q16" s="1">
        <v>3.0000000000000001E-6</v>
      </c>
    </row>
    <row r="17" spans="1:17" x14ac:dyDescent="0.4">
      <c r="A17" s="1" t="s">
        <v>23</v>
      </c>
      <c r="C17">
        <v>2E-3</v>
      </c>
      <c r="N17" s="1" t="s">
        <v>24</v>
      </c>
      <c r="O17" s="1" t="s">
        <v>10</v>
      </c>
      <c r="P17" s="1">
        <v>2.0999999999999999E-5</v>
      </c>
      <c r="Q17" s="1">
        <v>3.9999999999999998E-6</v>
      </c>
    </row>
    <row r="18" spans="1:17" ht="12.4" customHeight="1" x14ac:dyDescent="0.4">
      <c r="A18" s="1" t="s">
        <v>7</v>
      </c>
      <c r="B18" s="1">
        <v>1.5799999999999999E-4</v>
      </c>
      <c r="C18" s="1">
        <v>1.5799999999999999E-4</v>
      </c>
      <c r="O18" s="1" t="s">
        <v>9</v>
      </c>
      <c r="P18" s="1">
        <v>3.1599999999999998E-4</v>
      </c>
      <c r="Q18" s="1">
        <v>1.1E-5</v>
      </c>
    </row>
    <row r="19" spans="1:17" x14ac:dyDescent="0.4">
      <c r="A19" s="1" t="s">
        <v>26</v>
      </c>
      <c r="B19">
        <v>1.5E-5</v>
      </c>
      <c r="C19" s="1">
        <v>2.5999999999999998E-5</v>
      </c>
      <c r="N19" t="s">
        <v>27</v>
      </c>
      <c r="O19" t="s">
        <v>12</v>
      </c>
      <c r="P19" s="1">
        <v>2.9E-4</v>
      </c>
      <c r="Q19" s="1">
        <v>1E-4</v>
      </c>
    </row>
    <row r="20" spans="1:17" x14ac:dyDescent="0.4">
      <c r="A20" s="1" t="s">
        <v>25</v>
      </c>
      <c r="B20">
        <v>1.46E-4</v>
      </c>
      <c r="C20" s="1">
        <v>1.5200000000000001E-4</v>
      </c>
      <c r="N20" t="s">
        <v>27</v>
      </c>
      <c r="O20" s="1" t="s">
        <v>13</v>
      </c>
      <c r="P20" s="1">
        <v>3.3E-4</v>
      </c>
      <c r="Q20" s="1">
        <v>8.0000000000000007E-5</v>
      </c>
    </row>
    <row r="21" spans="1:17" x14ac:dyDescent="0.4">
      <c r="O21" s="1" t="s">
        <v>14</v>
      </c>
      <c r="P21" s="1">
        <v>1.6100000000000001E-4</v>
      </c>
      <c r="Q21" s="1">
        <v>2.4000000000000001E-5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FDA9-EBBA-409A-9FFB-0E57423E2ED9}">
  <dimension ref="A1:G11"/>
  <sheetViews>
    <sheetView tabSelected="1" workbookViewId="0">
      <selection activeCell="C22" sqref="C22"/>
    </sheetView>
  </sheetViews>
  <sheetFormatPr defaultRowHeight="13.9" x14ac:dyDescent="0.4"/>
  <cols>
    <col min="1" max="1" width="16" customWidth="1"/>
    <col min="2" max="2" width="14" customWidth="1"/>
    <col min="3" max="3" width="11" customWidth="1"/>
    <col min="6" max="6" width="9.796875" customWidth="1"/>
    <col min="7" max="7" width="10.1328125" customWidth="1"/>
  </cols>
  <sheetData>
    <row r="1" spans="1:7" x14ac:dyDescent="0.4">
      <c r="A1" s="4" t="s">
        <v>28</v>
      </c>
      <c r="B1" s="4" t="s">
        <v>29</v>
      </c>
      <c r="C1" s="4" t="s">
        <v>30</v>
      </c>
      <c r="E1" s="4" t="s">
        <v>34</v>
      </c>
      <c r="F1" s="4" t="s">
        <v>36</v>
      </c>
      <c r="G1" s="4" t="s">
        <v>37</v>
      </c>
    </row>
    <row r="2" spans="1:7" x14ac:dyDescent="0.4">
      <c r="A2" s="5">
        <v>2.9069953715677571E-4</v>
      </c>
      <c r="B2" s="5">
        <v>1.0512381786481187E-5</v>
      </c>
      <c r="C2" s="2" t="s">
        <v>31</v>
      </c>
      <c r="E2" t="s">
        <v>1</v>
      </c>
      <c r="F2">
        <f>A11-B11</f>
        <v>2.9649207405953068E-4</v>
      </c>
      <c r="G2">
        <f>A8+B8</f>
        <v>5.2712085815069954E-4</v>
      </c>
    </row>
    <row r="3" spans="1:7" x14ac:dyDescent="0.4">
      <c r="A3" s="5">
        <v>2.8769599950349497E-4</v>
      </c>
      <c r="B3" s="5">
        <v>3.9904143107867363E-5</v>
      </c>
      <c r="C3" s="2" t="s">
        <v>31</v>
      </c>
      <c r="E3" t="s">
        <v>35</v>
      </c>
      <c r="F3">
        <f>A2-B2</f>
        <v>2.8018715537029453E-4</v>
      </c>
      <c r="G3">
        <f>A2+B2</f>
        <v>3.012119189432569E-4</v>
      </c>
    </row>
    <row r="4" spans="1:7" x14ac:dyDescent="0.4">
      <c r="A4">
        <v>2.8040200000000002E-4</v>
      </c>
      <c r="B4" s="6">
        <v>3.3682500000000002E-5</v>
      </c>
      <c r="C4" s="2" t="s">
        <v>31</v>
      </c>
      <c r="E4" t="s">
        <v>0</v>
      </c>
      <c r="F4" s="6">
        <f>A4-B4</f>
        <v>2.4671950000000002E-4</v>
      </c>
      <c r="G4">
        <f>A5+B5</f>
        <v>3.0829168626884647E-4</v>
      </c>
    </row>
    <row r="5" spans="1:7" x14ac:dyDescent="0.4">
      <c r="A5" s="2">
        <v>2.9305945959863901E-4</v>
      </c>
      <c r="B5" s="2">
        <v>1.5232226670207436E-5</v>
      </c>
      <c r="C5" s="2" t="s">
        <v>31</v>
      </c>
    </row>
    <row r="6" spans="1:7" x14ac:dyDescent="0.4">
      <c r="A6" s="5">
        <v>4.0032866150150812E-4</v>
      </c>
      <c r="B6" s="5">
        <v>1.2872304228344312E-5</v>
      </c>
      <c r="C6" s="2" t="s">
        <v>32</v>
      </c>
    </row>
    <row r="7" spans="1:7" x14ac:dyDescent="0.4">
      <c r="A7" s="5">
        <v>4.4409449587787882E-4</v>
      </c>
      <c r="B7" s="5">
        <v>1.7592149112070558E-5</v>
      </c>
      <c r="C7" s="2" t="s">
        <v>32</v>
      </c>
    </row>
    <row r="8" spans="1:7" x14ac:dyDescent="0.4">
      <c r="A8" s="5">
        <v>4.8078056292866005E-4</v>
      </c>
      <c r="B8" s="5">
        <v>4.634029522203953E-5</v>
      </c>
      <c r="C8" s="2" t="s">
        <v>32</v>
      </c>
    </row>
    <row r="9" spans="1:7" x14ac:dyDescent="0.4">
      <c r="A9" s="5">
        <v>4.0075773830911953E-4</v>
      </c>
      <c r="B9" s="5">
        <v>2.7460915687134531E-5</v>
      </c>
      <c r="C9" s="2" t="s">
        <v>32</v>
      </c>
    </row>
    <row r="10" spans="1:7" x14ac:dyDescent="0.4">
      <c r="A10" s="5">
        <v>4.2371334751633362E-4</v>
      </c>
      <c r="B10" s="5">
        <v>2.7460915687134531E-5</v>
      </c>
      <c r="C10" s="2" t="s">
        <v>33</v>
      </c>
    </row>
    <row r="11" spans="1:7" x14ac:dyDescent="0.4">
      <c r="A11" s="5">
        <v>3.0013922692422821E-4</v>
      </c>
      <c r="B11" s="5">
        <v>3.647152864697555E-6</v>
      </c>
      <c r="C11" s="2" t="s">
        <v>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EDFC-7D08-44AA-8FBB-2D708391A2E7}">
  <dimension ref="A1:I34"/>
  <sheetViews>
    <sheetView workbookViewId="0">
      <selection activeCell="A2" sqref="A2:C21"/>
    </sheetView>
  </sheetViews>
  <sheetFormatPr defaultRowHeight="13.9" x14ac:dyDescent="0.4"/>
  <cols>
    <col min="1" max="1" width="30.6640625" customWidth="1"/>
    <col min="2" max="2" width="23.53125" customWidth="1"/>
    <col min="3" max="3" width="20.33203125" customWidth="1"/>
  </cols>
  <sheetData>
    <row r="1" spans="1:9" x14ac:dyDescent="0.4">
      <c r="B1" t="s">
        <v>17</v>
      </c>
      <c r="C1" t="s">
        <v>18</v>
      </c>
    </row>
    <row r="2" spans="1:9" x14ac:dyDescent="0.4">
      <c r="A2" t="s">
        <v>16</v>
      </c>
      <c r="B2">
        <v>2.9649199999999998E-4</v>
      </c>
      <c r="C2">
        <v>5.2712099999999997E-4</v>
      </c>
    </row>
    <row r="3" spans="1:9" x14ac:dyDescent="0.4">
      <c r="A3" t="s">
        <v>15</v>
      </c>
      <c r="B3">
        <v>2.8018699999999999E-4</v>
      </c>
      <c r="C3">
        <v>3.0121199999999997E-4</v>
      </c>
    </row>
    <row r="4" spans="1:9" x14ac:dyDescent="0.4">
      <c r="A4" t="s">
        <v>2</v>
      </c>
      <c r="B4">
        <v>2.4672000000000002E-4</v>
      </c>
      <c r="C4">
        <v>3.08292E-4</v>
      </c>
    </row>
    <row r="5" spans="1:9" x14ac:dyDescent="0.4">
      <c r="A5" t="s">
        <v>4</v>
      </c>
      <c r="B5">
        <v>8.4900000000000004E-5</v>
      </c>
      <c r="C5">
        <v>1.3200000000000001E-4</v>
      </c>
    </row>
    <row r="6" spans="1:9" x14ac:dyDescent="0.4">
      <c r="A6" t="s">
        <v>0</v>
      </c>
      <c r="B6">
        <v>8.2899999999999996E-5</v>
      </c>
      <c r="C6">
        <v>9.0099999999999995E-5</v>
      </c>
    </row>
    <row r="7" spans="1:9" x14ac:dyDescent="0.4">
      <c r="A7" t="s">
        <v>3</v>
      </c>
      <c r="B7">
        <v>6.4300000000000004E-5</v>
      </c>
      <c r="C7">
        <v>9.7600000000000001E-5</v>
      </c>
    </row>
    <row r="8" spans="1:9" x14ac:dyDescent="0.4">
      <c r="A8" t="s">
        <v>5</v>
      </c>
      <c r="B8">
        <v>1.6399999999999999E-5</v>
      </c>
      <c r="C8">
        <v>1.1400000000000001E-4</v>
      </c>
    </row>
    <row r="9" spans="1:9" x14ac:dyDescent="0.4">
      <c r="A9" t="s">
        <v>1</v>
      </c>
      <c r="B9">
        <v>1.6100000000000001E-4</v>
      </c>
      <c r="C9">
        <v>1.8799999999999999E-4</v>
      </c>
    </row>
    <row r="10" spans="1:9" x14ac:dyDescent="0.4">
      <c r="A10" t="s">
        <v>40</v>
      </c>
      <c r="B10">
        <v>1.37E-4</v>
      </c>
      <c r="C10">
        <v>1.85E-4</v>
      </c>
      <c r="I10" s="7"/>
    </row>
    <row r="11" spans="1:9" x14ac:dyDescent="0.4">
      <c r="A11" t="s">
        <v>47</v>
      </c>
      <c r="B11">
        <v>1.84E-4</v>
      </c>
      <c r="C11">
        <v>1.46E-4</v>
      </c>
    </row>
    <row r="12" spans="1:9" x14ac:dyDescent="0.4">
      <c r="A12" t="s">
        <v>45</v>
      </c>
      <c r="B12">
        <v>1.46E-4</v>
      </c>
      <c r="C12">
        <v>1.5200000000000001E-4</v>
      </c>
    </row>
    <row r="13" spans="1:9" x14ac:dyDescent="0.4">
      <c r="A13" t="s">
        <v>44</v>
      </c>
      <c r="B13">
        <v>5.5400000000000002E-4</v>
      </c>
      <c r="C13">
        <v>2.6400000000000002E-4</v>
      </c>
    </row>
    <row r="14" spans="1:9" x14ac:dyDescent="0.4">
      <c r="A14" t="s">
        <v>41</v>
      </c>
      <c r="B14">
        <v>3.0499999999999999E-4</v>
      </c>
      <c r="C14">
        <v>3.2699999999999998E-4</v>
      </c>
    </row>
    <row r="15" spans="1:9" x14ac:dyDescent="0.4">
      <c r="A15" t="s">
        <v>43</v>
      </c>
      <c r="B15">
        <v>2.9E-4</v>
      </c>
      <c r="C15">
        <v>2.1000000000000001E-4</v>
      </c>
    </row>
    <row r="16" spans="1:9" x14ac:dyDescent="0.4">
      <c r="A16" t="s">
        <v>42</v>
      </c>
      <c r="B16">
        <v>2.5000000000000001E-4</v>
      </c>
      <c r="C16">
        <v>4.0999999999999999E-4</v>
      </c>
    </row>
    <row r="17" spans="1:4" x14ac:dyDescent="0.4">
      <c r="A17" t="s">
        <v>12</v>
      </c>
      <c r="B17">
        <v>1.9000000000000001E-4</v>
      </c>
      <c r="C17">
        <v>3.8999999999999999E-4</v>
      </c>
    </row>
    <row r="18" spans="1:4" x14ac:dyDescent="0.4">
      <c r="A18" t="s">
        <v>46</v>
      </c>
      <c r="B18">
        <v>6.2E-4</v>
      </c>
      <c r="C18">
        <v>9.3000000000000005E-4</v>
      </c>
    </row>
    <row r="19" spans="1:4" ht="15.4" customHeight="1" x14ac:dyDescent="0.4">
      <c r="A19" t="s">
        <v>49</v>
      </c>
      <c r="B19">
        <v>8.0999999999999996E-4</v>
      </c>
      <c r="C19">
        <v>1.4499999999999999E-3</v>
      </c>
    </row>
    <row r="20" spans="1:4" x14ac:dyDescent="0.4">
      <c r="A20" t="s">
        <v>39</v>
      </c>
      <c r="B20">
        <v>2.2000000000000001E-4</v>
      </c>
      <c r="C20">
        <v>4.4000000000000002E-4</v>
      </c>
      <c r="D20" t="s">
        <v>38</v>
      </c>
    </row>
    <row r="21" spans="1:4" x14ac:dyDescent="0.4">
      <c r="A21" t="s">
        <v>48</v>
      </c>
      <c r="C21">
        <v>2E-3</v>
      </c>
    </row>
    <row r="34" spans="2:2" x14ac:dyDescent="0.4">
      <c r="B34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6EFB16-9ED1-4E5C-8FB4-5207BF7982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氢储库</vt:lpstr>
      <vt:lpstr>水1</vt:lpstr>
      <vt:lpstr>水储库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23693</dc:creator>
  <cp:lastModifiedBy>2369331710@qq.com</cp:lastModifiedBy>
  <dcterms:created xsi:type="dcterms:W3CDTF">2015-06-05T18:19:34Z</dcterms:created>
  <dcterms:modified xsi:type="dcterms:W3CDTF">2026-05-22T06:09:52Z</dcterms:modified>
</cp:coreProperties>
</file>