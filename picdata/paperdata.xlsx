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1\dataanalysis\"/>
    </mc:Choice>
  </mc:AlternateContent>
  <xr:revisionPtr revIDLastSave="0" documentId="13_ncr:1_{2C1FDE62-D011-4431-96A0-D233C6DEE57C}" xr6:coauthVersionLast="47" xr6:coauthVersionMax="47" xr10:uidLastSave="{00000000-0000-0000-0000-000000000000}"/>
  <bookViews>
    <workbookView xWindow="-83" yWindow="0" windowWidth="11686" windowHeight="13763" firstSheet="1" activeTab="2" xr2:uid="{00000000-000D-0000-FFFF-FFFF00000000}"/>
  </bookViews>
  <sheets>
    <sheet name="文献数据" sheetId="1" r:id="rId1"/>
    <sheet name="Rwater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3" l="1"/>
  <c r="K10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S46" i="3" s="1"/>
  <c r="R47" i="3"/>
  <c r="S47" i="3" s="1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" i="3"/>
  <c r="R7" i="3"/>
  <c r="R8" i="3"/>
  <c r="R9" i="3"/>
  <c r="L16" i="3"/>
  <c r="N16" i="3" s="1"/>
  <c r="L17" i="3"/>
  <c r="N17" i="3" s="1"/>
  <c r="L18" i="3"/>
  <c r="N18" i="3" s="1"/>
  <c r="L2" i="3"/>
  <c r="N2" i="3" s="1"/>
  <c r="L3" i="3"/>
  <c r="N3" i="3" s="1"/>
  <c r="K2" i="3"/>
  <c r="M2" i="3" s="1"/>
  <c r="K3" i="3"/>
  <c r="M3" i="3" s="1"/>
  <c r="K16" i="3"/>
  <c r="M16" i="3" s="1"/>
  <c r="K63" i="3"/>
  <c r="M63" i="3" s="1"/>
  <c r="J4" i="3"/>
  <c r="K4" i="3" s="1"/>
  <c r="M4" i="3" s="1"/>
  <c r="J5" i="3"/>
  <c r="K5" i="3" s="1"/>
  <c r="M5" i="3" s="1"/>
  <c r="J6" i="3"/>
  <c r="K6" i="3" s="1"/>
  <c r="M6" i="3" s="1"/>
  <c r="J7" i="3"/>
  <c r="K7" i="3" s="1"/>
  <c r="M7" i="3" s="1"/>
  <c r="J8" i="3"/>
  <c r="K8" i="3" s="1"/>
  <c r="M8" i="3" s="1"/>
  <c r="J9" i="3"/>
  <c r="K9" i="3" s="1"/>
  <c r="M9" i="3" s="1"/>
  <c r="J10" i="3"/>
  <c r="J12" i="3"/>
  <c r="L12" i="3" s="1"/>
  <c r="N12" i="3" s="1"/>
  <c r="J13" i="3"/>
  <c r="L13" i="3" s="1"/>
  <c r="N13" i="3" s="1"/>
  <c r="J14" i="3"/>
  <c r="L14" i="3" s="1"/>
  <c r="N14" i="3" s="1"/>
  <c r="J15" i="3"/>
  <c r="K15" i="3" s="1"/>
  <c r="M15" i="3" s="1"/>
  <c r="J16" i="3"/>
  <c r="J17" i="3"/>
  <c r="K17" i="3" s="1"/>
  <c r="M17" i="3" s="1"/>
  <c r="J18" i="3"/>
  <c r="K18" i="3" s="1"/>
  <c r="M18" i="3" s="1"/>
  <c r="J19" i="3"/>
  <c r="L19" i="3" s="1"/>
  <c r="N19" i="3" s="1"/>
  <c r="J20" i="3"/>
  <c r="K20" i="3" s="1"/>
  <c r="M20" i="3" s="1"/>
  <c r="J21" i="3"/>
  <c r="K21" i="3" s="1"/>
  <c r="M21" i="3" s="1"/>
  <c r="J22" i="3"/>
  <c r="K22" i="3" s="1"/>
  <c r="M22" i="3" s="1"/>
  <c r="J23" i="3"/>
  <c r="K23" i="3" s="1"/>
  <c r="M23" i="3" s="1"/>
  <c r="J24" i="3"/>
  <c r="S24" i="3" s="1"/>
  <c r="J25" i="3"/>
  <c r="K25" i="3" s="1"/>
  <c r="M25" i="3" s="1"/>
  <c r="J26" i="3"/>
  <c r="L26" i="3" s="1"/>
  <c r="N26" i="3" s="1"/>
  <c r="J27" i="3"/>
  <c r="L27" i="3" s="1"/>
  <c r="N27" i="3" s="1"/>
  <c r="J28" i="3"/>
  <c r="L28" i="3" s="1"/>
  <c r="N28" i="3" s="1"/>
  <c r="J29" i="3"/>
  <c r="L29" i="3" s="1"/>
  <c r="N29" i="3" s="1"/>
  <c r="J30" i="3"/>
  <c r="L30" i="3" s="1"/>
  <c r="N30" i="3" s="1"/>
  <c r="J31" i="3"/>
  <c r="K31" i="3" s="1"/>
  <c r="M31" i="3" s="1"/>
  <c r="J32" i="3"/>
  <c r="L32" i="3" s="1"/>
  <c r="N32" i="3" s="1"/>
  <c r="J33" i="3"/>
  <c r="K33" i="3" s="1"/>
  <c r="M33" i="3" s="1"/>
  <c r="J34" i="3"/>
  <c r="K34" i="3" s="1"/>
  <c r="M34" i="3" s="1"/>
  <c r="J35" i="3"/>
  <c r="K35" i="3" s="1"/>
  <c r="M35" i="3" s="1"/>
  <c r="J36" i="3"/>
  <c r="K36" i="3" s="1"/>
  <c r="M36" i="3" s="1"/>
  <c r="J37" i="3"/>
  <c r="K37" i="3" s="1"/>
  <c r="M37" i="3" s="1"/>
  <c r="J38" i="3"/>
  <c r="K38" i="3" s="1"/>
  <c r="M38" i="3" s="1"/>
  <c r="J39" i="3"/>
  <c r="K39" i="3" s="1"/>
  <c r="M39" i="3" s="1"/>
  <c r="J40" i="3"/>
  <c r="S40" i="3" s="1"/>
  <c r="J41" i="3"/>
  <c r="K41" i="3" s="1"/>
  <c r="M41" i="3" s="1"/>
  <c r="J42" i="3"/>
  <c r="L42" i="3" s="1"/>
  <c r="N42" i="3" s="1"/>
  <c r="J43" i="3"/>
  <c r="L43" i="3" s="1"/>
  <c r="J44" i="3"/>
  <c r="S44" i="3" s="1"/>
  <c r="J45" i="3"/>
  <c r="L45" i="3" s="1"/>
  <c r="N45" i="3" s="1"/>
  <c r="J46" i="3"/>
  <c r="L46" i="3" s="1"/>
  <c r="N46" i="3" s="1"/>
  <c r="J47" i="3"/>
  <c r="K47" i="3" s="1"/>
  <c r="M47" i="3" s="1"/>
  <c r="J48" i="3"/>
  <c r="L48" i="3" s="1"/>
  <c r="N48" i="3" s="1"/>
  <c r="J49" i="3"/>
  <c r="K49" i="3" s="1"/>
  <c r="M49" i="3" s="1"/>
  <c r="J50" i="3"/>
  <c r="L50" i="3" s="1"/>
  <c r="N50" i="3" s="1"/>
  <c r="J51" i="3"/>
  <c r="K51" i="3" s="1"/>
  <c r="M51" i="3" s="1"/>
  <c r="J52" i="3"/>
  <c r="K52" i="3" s="1"/>
  <c r="M52" i="3" s="1"/>
  <c r="J53" i="3"/>
  <c r="K53" i="3" s="1"/>
  <c r="M53" i="3" s="1"/>
  <c r="J54" i="3"/>
  <c r="K54" i="3" s="1"/>
  <c r="M54" i="3" s="1"/>
  <c r="J55" i="3"/>
  <c r="K55" i="3" s="1"/>
  <c r="M55" i="3" s="1"/>
  <c r="J56" i="3"/>
  <c r="S56" i="3" s="1"/>
  <c r="J57" i="3"/>
  <c r="L57" i="3" s="1"/>
  <c r="N57" i="3" s="1"/>
  <c r="J58" i="3"/>
  <c r="L58" i="3" s="1"/>
  <c r="N58" i="3" s="1"/>
  <c r="J59" i="3"/>
  <c r="L59" i="3" s="1"/>
  <c r="N59" i="3" s="1"/>
  <c r="J60" i="3"/>
  <c r="K60" i="3" s="1"/>
  <c r="M60" i="3" s="1"/>
  <c r="J61" i="3"/>
  <c r="K61" i="3" s="1"/>
  <c r="M61" i="3" s="1"/>
  <c r="J62" i="3"/>
  <c r="K62" i="3" s="1"/>
  <c r="J63" i="3"/>
  <c r="L63" i="3" s="1"/>
  <c r="N63" i="3" s="1"/>
  <c r="R10" i="3"/>
  <c r="S10" i="3" s="1"/>
  <c r="R11" i="3"/>
  <c r="J11" i="3"/>
  <c r="K11" i="3" s="1"/>
  <c r="M11" i="3" s="1"/>
  <c r="D3" i="2"/>
  <c r="D4" i="2"/>
  <c r="D5" i="2"/>
  <c r="D6" i="2"/>
  <c r="D7" i="2"/>
  <c r="D8" i="2"/>
  <c r="D9" i="2"/>
  <c r="D10" i="2"/>
  <c r="D11" i="2"/>
  <c r="D2" i="2"/>
  <c r="E3" i="2" l="1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2" i="2"/>
  <c r="F2" i="2"/>
  <c r="S36" i="3"/>
  <c r="K57" i="3"/>
  <c r="M57" i="3" s="1"/>
  <c r="S51" i="3"/>
  <c r="S35" i="3"/>
  <c r="S19" i="3"/>
  <c r="K48" i="3"/>
  <c r="M48" i="3" s="1"/>
  <c r="S50" i="3"/>
  <c r="S18" i="3"/>
  <c r="K42" i="3"/>
  <c r="M42" i="3" s="1"/>
  <c r="S49" i="3"/>
  <c r="S33" i="3"/>
  <c r="S17" i="3"/>
  <c r="L41" i="3"/>
  <c r="N41" i="3" s="1"/>
  <c r="S22" i="3"/>
  <c r="S53" i="3"/>
  <c r="S21" i="3"/>
  <c r="S20" i="3"/>
  <c r="S48" i="3"/>
  <c r="S32" i="3"/>
  <c r="K19" i="3"/>
  <c r="M19" i="3" s="1"/>
  <c r="S31" i="3"/>
  <c r="S14" i="3"/>
  <c r="S38" i="3"/>
  <c r="S37" i="3"/>
  <c r="S52" i="3"/>
  <c r="S6" i="3"/>
  <c r="S16" i="3"/>
  <c r="S15" i="3"/>
  <c r="S30" i="3"/>
  <c r="S54" i="3"/>
  <c r="S9" i="3"/>
  <c r="S8" i="3"/>
  <c r="S7" i="3"/>
  <c r="L8" i="3"/>
  <c r="N8" i="3" s="1"/>
  <c r="L6" i="3"/>
  <c r="N6" i="3" s="1"/>
  <c r="L5" i="3"/>
  <c r="N5" i="3" s="1"/>
  <c r="L4" i="3"/>
  <c r="N4" i="3" s="1"/>
  <c r="L9" i="3"/>
  <c r="N9" i="3" s="1"/>
  <c r="K50" i="3"/>
  <c r="M50" i="3" s="1"/>
  <c r="L49" i="3"/>
  <c r="N49" i="3" s="1"/>
  <c r="L15" i="3"/>
  <c r="N15" i="3" s="1"/>
  <c r="K14" i="3"/>
  <c r="M14" i="3" s="1"/>
  <c r="K46" i="3"/>
  <c r="M46" i="3" s="1"/>
  <c r="S63" i="3"/>
  <c r="L52" i="3"/>
  <c r="N52" i="3" s="1"/>
  <c r="L51" i="3"/>
  <c r="N51" i="3" s="1"/>
  <c r="L47" i="3"/>
  <c r="N47" i="3" s="1"/>
  <c r="S34" i="3"/>
  <c r="L36" i="3"/>
  <c r="N36" i="3" s="1"/>
  <c r="L35" i="3"/>
  <c r="N35" i="3" s="1"/>
  <c r="S11" i="3"/>
  <c r="L34" i="3"/>
  <c r="N34" i="3" s="1"/>
  <c r="K32" i="3"/>
  <c r="M32" i="3" s="1"/>
  <c r="L31" i="3"/>
  <c r="N31" i="3" s="1"/>
  <c r="S42" i="3"/>
  <c r="S26" i="3"/>
  <c r="L33" i="3"/>
  <c r="N33" i="3" s="1"/>
  <c r="K30" i="3"/>
  <c r="M30" i="3" s="1"/>
  <c r="L25" i="3"/>
  <c r="N25" i="3" s="1"/>
  <c r="S57" i="3"/>
  <c r="S41" i="3"/>
  <c r="S25" i="3"/>
  <c r="K26" i="3"/>
  <c r="M26" i="3" s="1"/>
  <c r="L20" i="3"/>
  <c r="N20" i="3" s="1"/>
  <c r="S55" i="3"/>
  <c r="S39" i="3"/>
  <c r="S23" i="3"/>
  <c r="L56" i="3"/>
  <c r="N56" i="3" s="1"/>
  <c r="L40" i="3"/>
  <c r="N40" i="3" s="1"/>
  <c r="L24" i="3"/>
  <c r="N24" i="3" s="1"/>
  <c r="L55" i="3"/>
  <c r="N55" i="3" s="1"/>
  <c r="L39" i="3"/>
  <c r="N39" i="3" s="1"/>
  <c r="L23" i="3"/>
  <c r="N23" i="3" s="1"/>
  <c r="L54" i="3"/>
  <c r="N54" i="3" s="1"/>
  <c r="L38" i="3"/>
  <c r="N38" i="3" s="1"/>
  <c r="L22" i="3"/>
  <c r="N22" i="3" s="1"/>
  <c r="L7" i="3"/>
  <c r="N7" i="3" s="1"/>
  <c r="L53" i="3"/>
  <c r="N53" i="3" s="1"/>
  <c r="L37" i="3"/>
  <c r="N37" i="3" s="1"/>
  <c r="L21" i="3"/>
  <c r="N21" i="3" s="1"/>
  <c r="K45" i="3"/>
  <c r="M45" i="3" s="1"/>
  <c r="K29" i="3"/>
  <c r="M29" i="3" s="1"/>
  <c r="K13" i="3"/>
  <c r="M13" i="3" s="1"/>
  <c r="K28" i="3"/>
  <c r="M28" i="3" s="1"/>
  <c r="K12" i="3"/>
  <c r="M12" i="3" s="1"/>
  <c r="K43" i="3"/>
  <c r="M43" i="3" s="1"/>
  <c r="S45" i="3"/>
  <c r="S13" i="3"/>
  <c r="S12" i="3"/>
  <c r="S43" i="3"/>
  <c r="S27" i="3"/>
  <c r="K56" i="3"/>
  <c r="M56" i="3" s="1"/>
  <c r="K40" i="3"/>
  <c r="M40" i="3" s="1"/>
  <c r="K24" i="3"/>
  <c r="M24" i="3" s="1"/>
  <c r="L62" i="3"/>
  <c r="N62" i="3" s="1"/>
  <c r="S29" i="3"/>
  <c r="S28" i="3"/>
  <c r="L61" i="3"/>
  <c r="N61" i="3" s="1"/>
  <c r="L60" i="3"/>
  <c r="N60" i="3" s="1"/>
  <c r="L44" i="3"/>
  <c r="N44" i="3" s="1"/>
  <c r="K44" i="3"/>
  <c r="M44" i="3" s="1"/>
  <c r="K27" i="3"/>
  <c r="M27" i="3" s="1"/>
  <c r="S62" i="3"/>
  <c r="S61" i="3"/>
  <c r="S59" i="3"/>
  <c r="S58" i="3"/>
  <c r="K59" i="3"/>
  <c r="M59" i="3" s="1"/>
  <c r="N43" i="3"/>
  <c r="L11" i="3"/>
  <c r="N11" i="3" s="1"/>
  <c r="K58" i="3"/>
  <c r="M58" i="3" s="1"/>
  <c r="S60" i="3"/>
  <c r="M62" i="3"/>
  <c r="L10" i="3"/>
  <c r="N10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6EE998-3C32-4796-B3C6-FF98DA0411E7}" keepAlive="1" name="查询 - 表1" description="与工作簿中“表1”查询的连接。" type="5" refreshedVersion="0" background="1">
    <dbPr connection="Provider=Microsoft.Mashup.OleDb.1;Data Source=$Workbook$;Location=表1;Extended Properties=&quot;&quot;" command="SELECT * FROM [表1]"/>
  </connection>
  <connection id="2" xr16:uid="{DC3B2C1B-B90E-43DB-97C6-462A99F6BC33}" keepAlive="1" name="查询 - 表1 (2)" description="与工作簿中“表1 (2)”查询的连接。" type="5" refreshedVersion="0" background="1">
    <dbPr connection="Provider=Microsoft.Mashup.OleDb.1;Data Source=$Workbook$;Location=&quot;表1 (2)&quot;;Extended Properties=&quot;&quot;" command="SELECT * FROM [表1 (2)]"/>
  </connection>
  <connection id="3" xr16:uid="{670C1B1C-6ED8-421C-A99E-84359D5CA3DA}" keepAlive="1" name="查询 - 表1 (3)" description="与工作簿中“表1 (3)”查询的连接。" type="5" refreshedVersion="0" background="1">
    <dbPr connection="Provider=Microsoft.Mashup.OleDb.1;Data Source=$Workbook$;Location=&quot;表1 (3)&quot;;Extended Properties=&quot;&quot;" command="SELECT * FROM [表1 (3)]"/>
  </connection>
  <connection id="4" xr16:uid="{3F2D1E48-9C03-4515-ACE8-E81CCAFF8A7A}" keepAlive="1" name="查询 - 表5" description="与工作簿中“表5”查询的连接。" type="5" refreshedVersion="0" background="1">
    <dbPr connection="Provider=Microsoft.Mashup.OleDb.1;Data Source=$Workbook$;Location=表5;Extended Properties=&quot;&quot;" command="SELECT * FROM [表5]"/>
  </connection>
</connections>
</file>

<file path=xl/sharedStrings.xml><?xml version="1.0" encoding="utf-8"?>
<sst xmlns="http://schemas.openxmlformats.org/spreadsheetml/2006/main" count="546" uniqueCount="140">
  <si>
    <t>文献来源</t>
  </si>
  <si>
    <t>method</t>
  </si>
  <si>
    <t>Elsila 2012</t>
  </si>
  <si>
    <t>ALH 83100(CM1/2)</t>
  </si>
  <si>
    <t>Glycine</t>
  </si>
  <si>
    <t xml:space="preserve"> 355±49</t>
  </si>
  <si>
    <t>GC⁄IRMS</t>
  </si>
  <si>
    <t>α-aminoisobutyric acid</t>
  </si>
  <si>
    <t>410±116</t>
  </si>
  <si>
    <t xml:space="preserve"> γ-aminobutyric acid</t>
  </si>
  <si>
    <t>58±6</t>
  </si>
  <si>
    <t>Murchison(CM2)</t>
  </si>
  <si>
    <t>341±186</t>
  </si>
  <si>
    <t>β-alanine</t>
  </si>
  <si>
    <t xml:space="preserve"> 529±57</t>
  </si>
  <si>
    <t>3027±295</t>
  </si>
  <si>
    <t>Isovaline</t>
  </si>
  <si>
    <t xml:space="preserve"> 2904±396</t>
  </si>
  <si>
    <t>LEW90500(CM2)</t>
  </si>
  <si>
    <t xml:space="preserve"> 307±157</t>
  </si>
  <si>
    <t>LON 94101(CM2)</t>
  </si>
  <si>
    <t xml:space="preserve"> 366±71</t>
  </si>
  <si>
    <t>d-alanine</t>
  </si>
  <si>
    <t xml:space="preserve"> 725±25</t>
  </si>
  <si>
    <t>l-alanine</t>
  </si>
  <si>
    <t xml:space="preserve"> 765±74</t>
  </si>
  <si>
    <t xml:space="preserve"> 915±54</t>
  </si>
  <si>
    <t xml:space="preserve"> 2362±76</t>
  </si>
  <si>
    <t>d-α-aminoisobutyric acid</t>
  </si>
  <si>
    <t>1212±31</t>
  </si>
  <si>
    <t>d-valine</t>
  </si>
  <si>
    <t>1216±82</t>
  </si>
  <si>
    <t>2081±42</t>
  </si>
  <si>
    <t>GRA 95229(CR2)</t>
  </si>
  <si>
    <t>866±60</t>
  </si>
  <si>
    <t>1382±226</t>
  </si>
  <si>
    <t>1528±113</t>
  </si>
  <si>
    <t>2286±367</t>
  </si>
  <si>
    <t>4303±1189</t>
  </si>
  <si>
    <t>1920±204</t>
  </si>
  <si>
    <t>l-α-aminoisobutyric acid</t>
  </si>
  <si>
    <t>2099±263</t>
  </si>
  <si>
    <t>2165±307</t>
  </si>
  <si>
    <t>l-valine</t>
  </si>
  <si>
    <t>2086±345</t>
  </si>
  <si>
    <t>3813±253</t>
  </si>
  <si>
    <t>EET93042(CR2)</t>
  </si>
  <si>
    <t>1070±82</t>
  </si>
  <si>
    <t>1693±90</t>
  </si>
  <si>
    <t>1564±80</t>
  </si>
  <si>
    <t>3462±70</t>
  </si>
  <si>
    <t>7065±390</t>
  </si>
  <si>
    <t>2769±557</t>
  </si>
  <si>
    <t>3409±232</t>
  </si>
  <si>
    <t>2018±105</t>
  </si>
  <si>
    <t>3307±283</t>
  </si>
  <si>
    <t>6017±395</t>
  </si>
  <si>
    <t>QUE 99177(CR3)</t>
  </si>
  <si>
    <t>1241±216</t>
  </si>
  <si>
    <t>2204±53</t>
  </si>
  <si>
    <t>2311±493</t>
  </si>
  <si>
    <t>2253±112</t>
  </si>
  <si>
    <t>2791±770</t>
  </si>
  <si>
    <t>1945±59</t>
  </si>
  <si>
    <t>736±39</t>
  </si>
  <si>
    <t>1822±95</t>
  </si>
  <si>
    <t>4956±57</t>
  </si>
  <si>
    <t>PizzarelloandHuang2005</t>
  </si>
  <si>
    <t>Murchison</t>
  </si>
  <si>
    <t>d,l-isovaline</t>
  </si>
  <si>
    <t>Pizzarelloetal.2008</t>
  </si>
  <si>
    <t>GRA 95229</t>
  </si>
  <si>
    <t>l-α-ABA</t>
  </si>
  <si>
    <t>aminoisobutyric acid</t>
  </si>
  <si>
    <t>aponte 2020</t>
  </si>
  <si>
    <t>MIL 090001</t>
  </si>
  <si>
    <t>glycine</t>
  </si>
  <si>
    <t>975±128</t>
  </si>
  <si>
    <t>1526±108</t>
  </si>
  <si>
    <t>2321±101</t>
  </si>
  <si>
    <t>5797±433</t>
  </si>
  <si>
    <t>2835±353</t>
  </si>
  <si>
    <t>429±127</t>
  </si>
  <si>
    <t>360±140</t>
  </si>
  <si>
    <t>d-glutamic a</t>
  </si>
  <si>
    <t>473±50</t>
  </si>
  <si>
    <t>l-glutamic a</t>
  </si>
  <si>
    <t>292±73</t>
  </si>
  <si>
    <t>Murray</t>
  </si>
  <si>
    <t>399±17</t>
  </si>
  <si>
    <t>614±61</t>
  </si>
  <si>
    <t>510±53</t>
  </si>
  <si>
    <t>2432±11</t>
  </si>
  <si>
    <t>2266±101</t>
  </si>
  <si>
    <t>l-isoleucine</t>
  </si>
  <si>
    <t>1819±27</t>
  </si>
  <si>
    <t>1063±47</t>
  </si>
  <si>
    <t>Glycine</t>
    <phoneticPr fontId="2" type="noConversion"/>
  </si>
  <si>
    <t>sample</t>
    <phoneticPr fontId="2" type="noConversion"/>
  </si>
  <si>
    <t>aminoacid</t>
    <phoneticPr fontId="2" type="noConversion"/>
  </si>
  <si>
    <t>deltaD</t>
    <phoneticPr fontId="2" type="noConversion"/>
  </si>
  <si>
    <t>deltaD_value</t>
    <phoneticPr fontId="2" type="noConversion"/>
  </si>
  <si>
    <t>alpha</t>
    <phoneticPr fontId="2" type="noConversion"/>
  </si>
  <si>
    <t>Rwater_value</t>
    <phoneticPr fontId="2" type="noConversion"/>
  </si>
  <si>
    <t>Rwater_sigma</t>
    <phoneticPr fontId="2" type="noConversion"/>
  </si>
  <si>
    <t>Rstander</t>
    <phoneticPr fontId="2" type="noConversion"/>
  </si>
  <si>
    <t>deltaD_sigma</t>
    <phoneticPr fontId="2" type="noConversion"/>
  </si>
  <si>
    <t>R0</t>
    <phoneticPr fontId="2" type="noConversion"/>
  </si>
  <si>
    <t>1000lnalpha</t>
    <phoneticPr fontId="2" type="noConversion"/>
  </si>
  <si>
    <t>Rstd</t>
    <phoneticPr fontId="2" type="noConversion"/>
  </si>
  <si>
    <t>outcome</t>
    <phoneticPr fontId="2" type="noConversion"/>
  </si>
  <si>
    <t>1000ln(alpha_H)</t>
    <phoneticPr fontId="2" type="noConversion"/>
  </si>
  <si>
    <t>alpha_H</t>
    <phoneticPr fontId="2" type="noConversion"/>
  </si>
  <si>
    <t>Rog_sigma</t>
    <phoneticPr fontId="2" type="noConversion"/>
  </si>
  <si>
    <t>Rog_value</t>
    <phoneticPr fontId="2" type="noConversion"/>
  </si>
  <si>
    <t>Delatog_value</t>
    <phoneticPr fontId="2" type="noConversion"/>
  </si>
  <si>
    <t>deltaog_sigma</t>
    <phoneticPr fontId="2" type="noConversion"/>
  </si>
  <si>
    <t>1000ln(alpha_average)</t>
    <phoneticPr fontId="2" type="noConversion"/>
  </si>
  <si>
    <t>alpha_average</t>
    <phoneticPr fontId="2" type="noConversion"/>
  </si>
  <si>
    <t>alpha_rest</t>
    <phoneticPr fontId="2" type="noConversion"/>
  </si>
  <si>
    <t>Rwater1_value</t>
    <phoneticPr fontId="2" type="noConversion"/>
  </si>
  <si>
    <t>Rwater1_sigma</t>
    <phoneticPr fontId="2" type="noConversion"/>
  </si>
  <si>
    <r>
      <rPr>
        <sz val="10"/>
        <color theme="1"/>
        <rFont val="Calibri"/>
        <family val="2"/>
        <charset val="161"/>
      </rPr>
      <t>α</t>
    </r>
    <r>
      <rPr>
        <sz val="10"/>
        <color theme="1"/>
        <rFont val="宋体"/>
        <family val="2"/>
        <charset val="134"/>
        <scheme val="minor"/>
      </rPr>
      <t>-aminoisobutyric acid</t>
    </r>
    <phoneticPr fontId="2" type="noConversion"/>
  </si>
  <si>
    <t>Isovaline</t>
    <phoneticPr fontId="2" type="noConversion"/>
  </si>
  <si>
    <t>aminoisobutyric acid</t>
    <phoneticPr fontId="2" type="noConversion"/>
  </si>
  <si>
    <r>
      <t xml:space="preserve"> </t>
    </r>
    <r>
      <rPr>
        <sz val="10"/>
        <color theme="1"/>
        <rFont val="宋体"/>
        <family val="2"/>
        <charset val="134"/>
      </rPr>
      <t>γ</t>
    </r>
    <r>
      <rPr>
        <sz val="10"/>
        <color theme="1"/>
        <rFont val="宋体"/>
        <family val="2"/>
        <charset val="134"/>
        <scheme val="minor"/>
      </rPr>
      <t>-aminobutyric acid</t>
    </r>
    <phoneticPr fontId="2" type="noConversion"/>
  </si>
  <si>
    <t>CM2</t>
  </si>
  <si>
    <t>CM2</t>
    <phoneticPr fontId="2" type="noConversion"/>
  </si>
  <si>
    <t>CR2</t>
  </si>
  <si>
    <t>CM1/2</t>
    <phoneticPr fontId="2" type="noConversion"/>
  </si>
  <si>
    <t>CR2</t>
    <phoneticPr fontId="2" type="noConversion"/>
  </si>
  <si>
    <t>CR3</t>
  </si>
  <si>
    <t>CR3</t>
    <phoneticPr fontId="2" type="noConversion"/>
  </si>
  <si>
    <t>GRA 95229</t>
    <phoneticPr fontId="2" type="noConversion"/>
  </si>
  <si>
    <t>MIL 090001</t>
    <phoneticPr fontId="2" type="noConversion"/>
  </si>
  <si>
    <t>CV</t>
    <phoneticPr fontId="2" type="noConversion"/>
  </si>
  <si>
    <t>Murray</t>
    <phoneticPr fontId="2" type="noConversion"/>
  </si>
  <si>
    <t>category</t>
    <phoneticPr fontId="2" type="noConversion"/>
  </si>
  <si>
    <t>CM</t>
    <phoneticPr fontId="2" type="noConversion"/>
  </si>
  <si>
    <t>CR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</si>
</sst>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宋体"/>
      <family val="2"/>
      <charset val="134"/>
      <scheme val="minor"/>
    </font>
    <font>
      <b/>
      <sz val="10"/>
      <name val="宋体"/>
      <charset val="134"/>
    </font>
    <font>
      <sz val="9"/>
      <name val="宋体"/>
      <family val="2"/>
      <charset val="134"/>
      <scheme val="minor"/>
    </font>
    <font>
      <sz val="10"/>
      <color rgb="FFFF0000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rgb="FF474747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Calibri"/>
      <family val="2"/>
      <charset val="161"/>
    </font>
    <font>
      <sz val="10"/>
      <color theme="1"/>
      <name val="宋体"/>
      <family val="2"/>
      <charset val="161"/>
      <scheme val="minor"/>
    </font>
    <font>
      <sz val="10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 style="thin">
        <color theme="2"/>
      </bottom>
      <diagonal/>
    </border>
    <border diagonalUp="1">
      <left/>
      <right/>
      <top/>
      <bottom/>
      <diagonal style="thin">
        <color theme="2"/>
      </diagonal>
    </border>
    <border diagonalUp="1">
      <left/>
      <right style="thin">
        <color theme="2"/>
      </right>
      <top style="thin">
        <color theme="2"/>
      </top>
      <bottom/>
      <diagonal style="thin">
        <color theme="2"/>
      </diagonal>
    </border>
    <border diagonalUp="1">
      <left/>
      <right style="thin">
        <color theme="2"/>
      </right>
      <top/>
      <bottom style="thin">
        <color theme="2"/>
      </bottom>
      <diagonal style="thin">
        <color theme="2"/>
      </diagonal>
    </border>
    <border diagonalUp="1">
      <left style="thin">
        <color theme="2"/>
      </left>
      <right/>
      <top/>
      <bottom/>
      <diagonal style="thin">
        <color theme="2"/>
      </diagonal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 applyNumberFormat="0" applyFont="0" applyFill="0" applyBorder="0" applyAlignment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 applyFill="1" applyBorder="1">
      <alignment vertical="center"/>
    </xf>
    <xf numFmtId="11" fontId="8" fillId="0" borderId="0" xfId="0" applyNumberFormat="1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5" fillId="0" borderId="0" xfId="0" applyFont="1" applyFill="1">
      <alignment vertical="center"/>
    </xf>
    <xf numFmtId="0" fontId="0" fillId="0" borderId="7" xfId="0" applyFont="1" applyFill="1" applyBorder="1">
      <alignment vertical="center"/>
    </xf>
    <xf numFmtId="0" fontId="0" fillId="0" borderId="2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4" fillId="0" borderId="0" xfId="0" applyFont="1" applyFill="1">
      <alignment vertical="center"/>
    </xf>
    <xf numFmtId="0" fontId="0" fillId="0" borderId="4" xfId="0" applyFont="1" applyFill="1" applyBorder="1">
      <alignment vertical="center"/>
    </xf>
    <xf numFmtId="0" fontId="7" fillId="0" borderId="0" xfId="0" applyFont="1" applyFill="1" applyBorder="1">
      <alignment vertical="center"/>
    </xf>
    <xf numFmtId="11" fontId="7" fillId="0" borderId="0" xfId="0" applyNumberFormat="1" applyFont="1" applyFill="1" applyBorder="1">
      <alignment vertical="center"/>
    </xf>
    <xf numFmtId="11" fontId="0" fillId="0" borderId="0" xfId="0" applyNumberFormat="1" applyFont="1" applyFill="1" applyBorder="1">
      <alignment vertical="center"/>
    </xf>
    <xf numFmtId="0" fontId="0" fillId="2" borderId="0" xfId="0" applyFont="1" applyFill="1" applyBorder="1">
      <alignment vertical="center"/>
    </xf>
    <xf numFmtId="0" fontId="7" fillId="2" borderId="0" xfId="0" applyFont="1" applyFill="1" applyBorder="1">
      <alignment vertical="center"/>
    </xf>
    <xf numFmtId="11" fontId="0" fillId="0" borderId="0" xfId="0" applyNumberFormat="1">
      <alignment vertical="center"/>
    </xf>
    <xf numFmtId="0" fontId="0" fillId="0" borderId="0" xfId="0" applyFill="1" applyAlignment="1">
      <alignment vertical="center" wrapText="1"/>
    </xf>
    <xf numFmtId="0" fontId="10" fillId="0" borderId="0" xfId="0" applyFont="1" applyFill="1">
      <alignment vertical="center"/>
    </xf>
    <xf numFmtId="0" fontId="4" fillId="0" borderId="0" xfId="0" applyFont="1" applyFill="1" applyBorder="1">
      <alignment vertical="center"/>
    </xf>
    <xf numFmtId="0" fontId="4" fillId="0" borderId="4" xfId="0" applyFont="1" applyFill="1" applyBorder="1" applyAlignment="1">
      <alignment vertical="center" textRotation="45"/>
    </xf>
    <xf numFmtId="11" fontId="4" fillId="0" borderId="0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3" xfId="0" applyFont="1" applyFill="1" applyBorder="1">
      <alignment vertical="center"/>
    </xf>
    <xf numFmtId="11" fontId="4" fillId="0" borderId="0" xfId="0" applyNumberFormat="1" applyFont="1">
      <alignment vertical="center"/>
    </xf>
    <xf numFmtId="0" fontId="4" fillId="0" borderId="6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802104</xdr:colOff>
      <xdr:row>6</xdr:row>
      <xdr:rowOff>133684</xdr:rowOff>
    </xdr:from>
    <xdr:to>
      <xdr:col>8</xdr:col>
      <xdr:colOff>1160983</xdr:colOff>
      <xdr:row>31</xdr:row>
      <xdr:rowOff>40929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E662C28-E1BB-9283-7B2D-A22D5BA25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3092" y="2439737"/>
          <a:ext cx="6725589" cy="5906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zoomScale="79" zoomScaleNormal="55" workbookViewId="0">
      <selection activeCell="C9" sqref="C9"/>
    </sheetView>
  </sheetViews>
  <sheetFormatPr defaultColWidth="13.7109375" defaultRowHeight="18" customHeight="1" x14ac:dyDescent="0.3"/>
  <cols>
    <col min="1" max="1" width="9.92578125" customWidth="1"/>
    <col min="2" max="2" width="17.78515625" customWidth="1"/>
    <col min="3" max="3" width="23.0703125" customWidth="1"/>
  </cols>
  <sheetData>
    <row r="1" spans="1:9" x14ac:dyDescent="0.3">
      <c r="A1" s="1" t="s">
        <v>0</v>
      </c>
      <c r="B1" s="5" t="s">
        <v>98</v>
      </c>
      <c r="C1" s="5" t="s">
        <v>99</v>
      </c>
      <c r="D1" s="6" t="s">
        <v>100</v>
      </c>
      <c r="E1" s="1" t="s">
        <v>1</v>
      </c>
      <c r="F1" s="5" t="s">
        <v>101</v>
      </c>
      <c r="G1" s="5" t="s">
        <v>106</v>
      </c>
      <c r="H1" s="5" t="s">
        <v>102</v>
      </c>
      <c r="I1" s="5" t="s">
        <v>107</v>
      </c>
    </row>
    <row r="2" spans="1:9" x14ac:dyDescent="0.3">
      <c r="A2" t="s">
        <v>2</v>
      </c>
      <c r="B2" t="s">
        <v>3</v>
      </c>
      <c r="C2" s="3" t="s">
        <v>4</v>
      </c>
      <c r="D2" t="s">
        <v>5</v>
      </c>
      <c r="E2" t="s">
        <v>6</v>
      </c>
    </row>
    <row r="3" spans="1:9" x14ac:dyDescent="0.3">
      <c r="A3" t="s">
        <v>2</v>
      </c>
      <c r="B3" t="s">
        <v>3</v>
      </c>
      <c r="C3" t="s">
        <v>7</v>
      </c>
      <c r="D3" t="s">
        <v>8</v>
      </c>
      <c r="E3" t="s">
        <v>6</v>
      </c>
    </row>
    <row r="4" spans="1:9" x14ac:dyDescent="0.3">
      <c r="A4" t="s">
        <v>2</v>
      </c>
      <c r="B4" t="s">
        <v>3</v>
      </c>
      <c r="C4" t="s">
        <v>9</v>
      </c>
      <c r="D4" t="s">
        <v>10</v>
      </c>
      <c r="E4" t="s">
        <v>6</v>
      </c>
    </row>
    <row r="5" spans="1:9" x14ac:dyDescent="0.3">
      <c r="A5" t="s">
        <v>2</v>
      </c>
      <c r="B5" t="s">
        <v>11</v>
      </c>
      <c r="C5" s="3" t="s">
        <v>4</v>
      </c>
      <c r="D5" t="s">
        <v>12</v>
      </c>
      <c r="E5" t="s">
        <v>6</v>
      </c>
    </row>
    <row r="6" spans="1:9" x14ac:dyDescent="0.3">
      <c r="A6" t="s">
        <v>2</v>
      </c>
      <c r="B6" t="s">
        <v>11</v>
      </c>
      <c r="C6" t="s">
        <v>13</v>
      </c>
      <c r="D6" t="s">
        <v>14</v>
      </c>
      <c r="E6" t="s">
        <v>6</v>
      </c>
    </row>
    <row r="7" spans="1:9" x14ac:dyDescent="0.3">
      <c r="A7" t="s">
        <v>2</v>
      </c>
      <c r="B7" t="s">
        <v>11</v>
      </c>
      <c r="C7" t="s">
        <v>7</v>
      </c>
      <c r="D7" t="s">
        <v>15</v>
      </c>
      <c r="E7" t="s">
        <v>6</v>
      </c>
    </row>
    <row r="8" spans="1:9" x14ac:dyDescent="0.3">
      <c r="A8" t="s">
        <v>2</v>
      </c>
      <c r="B8" t="s">
        <v>11</v>
      </c>
      <c r="C8" t="s">
        <v>16</v>
      </c>
      <c r="D8" t="s">
        <v>17</v>
      </c>
      <c r="E8" t="s">
        <v>6</v>
      </c>
    </row>
    <row r="9" spans="1:9" x14ac:dyDescent="0.3">
      <c r="A9" t="s">
        <v>2</v>
      </c>
      <c r="B9" t="s">
        <v>18</v>
      </c>
      <c r="C9" s="4" t="s">
        <v>97</v>
      </c>
      <c r="D9" t="s">
        <v>19</v>
      </c>
      <c r="E9" t="s">
        <v>6</v>
      </c>
    </row>
    <row r="10" spans="1:9" x14ac:dyDescent="0.3">
      <c r="A10" t="s">
        <v>2</v>
      </c>
      <c r="B10" t="s">
        <v>20</v>
      </c>
      <c r="C10" s="4" t="s">
        <v>4</v>
      </c>
      <c r="D10" t="s">
        <v>21</v>
      </c>
      <c r="E10" t="s">
        <v>6</v>
      </c>
    </row>
    <row r="11" spans="1:9" x14ac:dyDescent="0.3">
      <c r="A11" t="s">
        <v>2</v>
      </c>
      <c r="B11" t="s">
        <v>20</v>
      </c>
      <c r="C11" t="s">
        <v>22</v>
      </c>
      <c r="D11" t="s">
        <v>23</v>
      </c>
      <c r="E11" t="s">
        <v>6</v>
      </c>
    </row>
    <row r="12" spans="1:9" x14ac:dyDescent="0.3">
      <c r="A12" t="s">
        <v>2</v>
      </c>
      <c r="B12" t="s">
        <v>20</v>
      </c>
      <c r="C12" t="s">
        <v>24</v>
      </c>
      <c r="D12" t="s">
        <v>25</v>
      </c>
      <c r="E12" t="s">
        <v>6</v>
      </c>
    </row>
    <row r="13" spans="1:9" x14ac:dyDescent="0.3">
      <c r="A13" t="s">
        <v>2</v>
      </c>
      <c r="B13" t="s">
        <v>20</v>
      </c>
      <c r="C13" t="s">
        <v>13</v>
      </c>
      <c r="D13" t="s">
        <v>26</v>
      </c>
      <c r="E13" t="s">
        <v>6</v>
      </c>
    </row>
    <row r="14" spans="1:9" x14ac:dyDescent="0.3">
      <c r="A14" t="s">
        <v>2</v>
      </c>
      <c r="B14" t="s">
        <v>20</v>
      </c>
      <c r="C14" t="s">
        <v>7</v>
      </c>
      <c r="D14" t="s">
        <v>27</v>
      </c>
      <c r="E14" t="s">
        <v>6</v>
      </c>
    </row>
    <row r="15" spans="1:9" x14ac:dyDescent="0.3">
      <c r="A15" t="s">
        <v>2</v>
      </c>
      <c r="B15" t="s">
        <v>20</v>
      </c>
      <c r="C15" t="s">
        <v>28</v>
      </c>
      <c r="D15" t="s">
        <v>29</v>
      </c>
      <c r="E15" t="s">
        <v>6</v>
      </c>
    </row>
    <row r="16" spans="1:9" x14ac:dyDescent="0.3">
      <c r="A16" t="s">
        <v>2</v>
      </c>
      <c r="B16" t="s">
        <v>20</v>
      </c>
      <c r="C16" t="s">
        <v>30</v>
      </c>
      <c r="D16" t="s">
        <v>31</v>
      </c>
      <c r="E16" t="s">
        <v>6</v>
      </c>
    </row>
    <row r="17" spans="1:5" x14ac:dyDescent="0.3">
      <c r="A17" t="s">
        <v>2</v>
      </c>
      <c r="B17" t="s">
        <v>20</v>
      </c>
      <c r="C17" t="s">
        <v>16</v>
      </c>
      <c r="D17" t="s">
        <v>32</v>
      </c>
      <c r="E17" t="s">
        <v>6</v>
      </c>
    </row>
    <row r="18" spans="1:5" x14ac:dyDescent="0.3">
      <c r="A18" t="s">
        <v>2</v>
      </c>
      <c r="B18" t="s">
        <v>33</v>
      </c>
      <c r="C18" s="4" t="s">
        <v>4</v>
      </c>
      <c r="D18" t="s">
        <v>34</v>
      </c>
      <c r="E18" t="s">
        <v>6</v>
      </c>
    </row>
    <row r="19" spans="1:5" x14ac:dyDescent="0.3">
      <c r="A19" t="s">
        <v>2</v>
      </c>
      <c r="B19" t="s">
        <v>33</v>
      </c>
      <c r="C19" t="s">
        <v>22</v>
      </c>
      <c r="D19" t="s">
        <v>35</v>
      </c>
      <c r="E19" t="s">
        <v>6</v>
      </c>
    </row>
    <row r="20" spans="1:5" x14ac:dyDescent="0.3">
      <c r="A20" t="s">
        <v>2</v>
      </c>
      <c r="B20" t="s">
        <v>33</v>
      </c>
      <c r="C20" t="s">
        <v>24</v>
      </c>
      <c r="D20" t="s">
        <v>36</v>
      </c>
      <c r="E20" t="s">
        <v>6</v>
      </c>
    </row>
    <row r="21" spans="1:5" x14ac:dyDescent="0.3">
      <c r="A21" t="s">
        <v>2</v>
      </c>
      <c r="B21" t="s">
        <v>33</v>
      </c>
      <c r="C21" t="s">
        <v>13</v>
      </c>
      <c r="D21" t="s">
        <v>37</v>
      </c>
      <c r="E21" t="s">
        <v>6</v>
      </c>
    </row>
    <row r="22" spans="1:5" x14ac:dyDescent="0.3">
      <c r="A22" t="s">
        <v>2</v>
      </c>
      <c r="B22" t="s">
        <v>33</v>
      </c>
      <c r="C22" t="s">
        <v>7</v>
      </c>
      <c r="D22" t="s">
        <v>38</v>
      </c>
      <c r="E22" t="s">
        <v>6</v>
      </c>
    </row>
    <row r="23" spans="1:5" x14ac:dyDescent="0.3">
      <c r="A23" t="s">
        <v>2</v>
      </c>
      <c r="B23" t="s">
        <v>33</v>
      </c>
      <c r="C23" t="s">
        <v>28</v>
      </c>
      <c r="D23" t="s">
        <v>39</v>
      </c>
      <c r="E23" t="s">
        <v>6</v>
      </c>
    </row>
    <row r="24" spans="1:5" x14ac:dyDescent="0.3">
      <c r="A24" t="s">
        <v>2</v>
      </c>
      <c r="B24" t="s">
        <v>33</v>
      </c>
      <c r="C24" t="s">
        <v>40</v>
      </c>
      <c r="D24" t="s">
        <v>41</v>
      </c>
      <c r="E24" t="s">
        <v>6</v>
      </c>
    </row>
    <row r="25" spans="1:5" x14ac:dyDescent="0.3">
      <c r="A25" t="s">
        <v>2</v>
      </c>
      <c r="B25" t="s">
        <v>33</v>
      </c>
      <c r="C25" t="s">
        <v>30</v>
      </c>
      <c r="D25" t="s">
        <v>42</v>
      </c>
      <c r="E25" t="s">
        <v>6</v>
      </c>
    </row>
    <row r="26" spans="1:5" x14ac:dyDescent="0.3">
      <c r="A26" t="s">
        <v>2</v>
      </c>
      <c r="B26" t="s">
        <v>33</v>
      </c>
      <c r="C26" t="s">
        <v>43</v>
      </c>
      <c r="D26" t="s">
        <v>44</v>
      </c>
      <c r="E26" t="s">
        <v>6</v>
      </c>
    </row>
    <row r="27" spans="1:5" x14ac:dyDescent="0.3">
      <c r="A27" t="s">
        <v>2</v>
      </c>
      <c r="B27" t="s">
        <v>33</v>
      </c>
      <c r="C27" t="s">
        <v>16</v>
      </c>
      <c r="D27" t="s">
        <v>45</v>
      </c>
      <c r="E27" t="s">
        <v>6</v>
      </c>
    </row>
    <row r="28" spans="1:5" x14ac:dyDescent="0.3">
      <c r="A28" t="s">
        <v>2</v>
      </c>
      <c r="B28" t="s">
        <v>46</v>
      </c>
      <c r="C28" s="4" t="s">
        <v>4</v>
      </c>
      <c r="D28" t="s">
        <v>47</v>
      </c>
      <c r="E28" t="s">
        <v>6</v>
      </c>
    </row>
    <row r="29" spans="1:5" x14ac:dyDescent="0.3">
      <c r="A29" t="s">
        <v>2</v>
      </c>
      <c r="B29" t="s">
        <v>46</v>
      </c>
      <c r="C29" t="s">
        <v>22</v>
      </c>
      <c r="D29" t="s">
        <v>48</v>
      </c>
      <c r="E29" t="s">
        <v>6</v>
      </c>
    </row>
    <row r="30" spans="1:5" x14ac:dyDescent="0.3">
      <c r="A30" t="s">
        <v>2</v>
      </c>
      <c r="B30" t="s">
        <v>46</v>
      </c>
      <c r="C30" t="s">
        <v>24</v>
      </c>
      <c r="D30" t="s">
        <v>49</v>
      </c>
      <c r="E30" t="s">
        <v>6</v>
      </c>
    </row>
    <row r="31" spans="1:5" x14ac:dyDescent="0.3">
      <c r="A31" t="s">
        <v>2</v>
      </c>
      <c r="B31" t="s">
        <v>46</v>
      </c>
      <c r="C31" t="s">
        <v>13</v>
      </c>
      <c r="D31" t="s">
        <v>50</v>
      </c>
      <c r="E31" t="s">
        <v>6</v>
      </c>
    </row>
    <row r="32" spans="1:5" x14ac:dyDescent="0.3">
      <c r="A32" t="s">
        <v>2</v>
      </c>
      <c r="B32" t="s">
        <v>46</v>
      </c>
      <c r="C32" t="s">
        <v>7</v>
      </c>
      <c r="D32" t="s">
        <v>51</v>
      </c>
      <c r="E32" t="s">
        <v>6</v>
      </c>
    </row>
    <row r="33" spans="1:7" x14ac:dyDescent="0.3">
      <c r="A33" t="s">
        <v>2</v>
      </c>
      <c r="B33" t="s">
        <v>46</v>
      </c>
      <c r="C33" t="s">
        <v>28</v>
      </c>
      <c r="D33" t="s">
        <v>52</v>
      </c>
      <c r="E33" t="s">
        <v>6</v>
      </c>
    </row>
    <row r="34" spans="1:7" x14ac:dyDescent="0.3">
      <c r="A34" t="s">
        <v>2</v>
      </c>
      <c r="B34" t="s">
        <v>46</v>
      </c>
      <c r="C34" t="s">
        <v>40</v>
      </c>
      <c r="D34" t="s">
        <v>53</v>
      </c>
      <c r="E34" t="s">
        <v>6</v>
      </c>
    </row>
    <row r="35" spans="1:7" x14ac:dyDescent="0.3">
      <c r="A35" t="s">
        <v>2</v>
      </c>
      <c r="B35" t="s">
        <v>46</v>
      </c>
      <c r="C35" t="s">
        <v>30</v>
      </c>
      <c r="D35" t="s">
        <v>54</v>
      </c>
      <c r="E35" t="s">
        <v>6</v>
      </c>
    </row>
    <row r="36" spans="1:7" x14ac:dyDescent="0.3">
      <c r="A36" t="s">
        <v>2</v>
      </c>
      <c r="B36" t="s">
        <v>46</v>
      </c>
      <c r="C36" t="s">
        <v>43</v>
      </c>
      <c r="D36" t="s">
        <v>55</v>
      </c>
      <c r="E36" t="s">
        <v>6</v>
      </c>
    </row>
    <row r="37" spans="1:7" x14ac:dyDescent="0.3">
      <c r="A37" t="s">
        <v>2</v>
      </c>
      <c r="B37" t="s">
        <v>46</v>
      </c>
      <c r="C37" t="s">
        <v>16</v>
      </c>
      <c r="D37" t="s">
        <v>56</v>
      </c>
      <c r="E37" t="s">
        <v>6</v>
      </c>
    </row>
    <row r="38" spans="1:7" x14ac:dyDescent="0.3">
      <c r="A38" t="s">
        <v>2</v>
      </c>
      <c r="B38" t="s">
        <v>57</v>
      </c>
      <c r="C38" s="4" t="s">
        <v>4</v>
      </c>
      <c r="D38" t="s">
        <v>58</v>
      </c>
      <c r="E38" t="s">
        <v>6</v>
      </c>
      <c r="G38">
        <v>7</v>
      </c>
    </row>
    <row r="39" spans="1:7" x14ac:dyDescent="0.3">
      <c r="A39" t="s">
        <v>2</v>
      </c>
      <c r="B39" t="s">
        <v>57</v>
      </c>
      <c r="C39" t="s">
        <v>22</v>
      </c>
      <c r="D39" t="s">
        <v>59</v>
      </c>
      <c r="E39" t="s">
        <v>6</v>
      </c>
    </row>
    <row r="40" spans="1:7" x14ac:dyDescent="0.3">
      <c r="A40" t="s">
        <v>2</v>
      </c>
      <c r="B40" t="s">
        <v>57</v>
      </c>
      <c r="C40" t="s">
        <v>24</v>
      </c>
      <c r="D40" t="s">
        <v>60</v>
      </c>
      <c r="E40" t="s">
        <v>6</v>
      </c>
    </row>
    <row r="41" spans="1:7" x14ac:dyDescent="0.3">
      <c r="A41" t="s">
        <v>2</v>
      </c>
      <c r="B41" t="s">
        <v>57</v>
      </c>
      <c r="C41" t="s">
        <v>13</v>
      </c>
      <c r="D41" t="s">
        <v>61</v>
      </c>
      <c r="E41" t="s">
        <v>6</v>
      </c>
    </row>
    <row r="42" spans="1:7" x14ac:dyDescent="0.3">
      <c r="A42" t="s">
        <v>2</v>
      </c>
      <c r="B42" t="s">
        <v>57</v>
      </c>
      <c r="C42" t="s">
        <v>7</v>
      </c>
      <c r="D42" t="s">
        <v>62</v>
      </c>
      <c r="E42" t="s">
        <v>6</v>
      </c>
    </row>
    <row r="43" spans="1:7" x14ac:dyDescent="0.3">
      <c r="A43" t="s">
        <v>2</v>
      </c>
      <c r="B43" t="s">
        <v>57</v>
      </c>
      <c r="C43" t="s">
        <v>40</v>
      </c>
      <c r="D43" t="s">
        <v>63</v>
      </c>
      <c r="E43" t="s">
        <v>6</v>
      </c>
    </row>
    <row r="44" spans="1:7" x14ac:dyDescent="0.3">
      <c r="A44" t="s">
        <v>2</v>
      </c>
      <c r="B44" t="s">
        <v>57</v>
      </c>
      <c r="C44" t="s">
        <v>30</v>
      </c>
      <c r="D44" t="s">
        <v>64</v>
      </c>
      <c r="E44" t="s">
        <v>6</v>
      </c>
    </row>
    <row r="45" spans="1:7" x14ac:dyDescent="0.3">
      <c r="A45" t="s">
        <v>2</v>
      </c>
      <c r="B45" t="s">
        <v>57</v>
      </c>
      <c r="C45" t="s">
        <v>43</v>
      </c>
      <c r="D45" t="s">
        <v>65</v>
      </c>
      <c r="E45" t="s">
        <v>6</v>
      </c>
    </row>
    <row r="46" spans="1:7" x14ac:dyDescent="0.3">
      <c r="A46" t="s">
        <v>2</v>
      </c>
      <c r="B46" t="s">
        <v>57</v>
      </c>
      <c r="C46" t="s">
        <v>16</v>
      </c>
      <c r="D46" t="s">
        <v>66</v>
      </c>
      <c r="E46" t="s">
        <v>6</v>
      </c>
    </row>
    <row r="47" spans="1:7" x14ac:dyDescent="0.3">
      <c r="A47" t="s">
        <v>67</v>
      </c>
      <c r="B47" t="s">
        <v>68</v>
      </c>
      <c r="C47" t="s">
        <v>13</v>
      </c>
      <c r="D47" s="2">
        <v>429</v>
      </c>
    </row>
    <row r="48" spans="1:7" x14ac:dyDescent="0.3">
      <c r="A48" t="s">
        <v>67</v>
      </c>
      <c r="B48" t="s">
        <v>68</v>
      </c>
      <c r="C48" t="s">
        <v>7</v>
      </c>
      <c r="D48" s="2">
        <v>3058</v>
      </c>
    </row>
    <row r="49" spans="1:4" x14ac:dyDescent="0.3">
      <c r="A49" t="s">
        <v>67</v>
      </c>
      <c r="B49" t="s">
        <v>68</v>
      </c>
      <c r="C49" t="s">
        <v>69</v>
      </c>
      <c r="D49" s="2">
        <v>3419</v>
      </c>
    </row>
    <row r="50" spans="1:4" x14ac:dyDescent="0.3">
      <c r="A50" t="s">
        <v>70</v>
      </c>
      <c r="B50" t="s">
        <v>71</v>
      </c>
      <c r="C50" s="4" t="s">
        <v>4</v>
      </c>
      <c r="D50" s="2">
        <v>868</v>
      </c>
    </row>
    <row r="51" spans="1:4" x14ac:dyDescent="0.3">
      <c r="A51" t="s">
        <v>70</v>
      </c>
      <c r="B51" t="s">
        <v>71</v>
      </c>
      <c r="C51" t="s">
        <v>22</v>
      </c>
      <c r="D51" s="2">
        <v>1182</v>
      </c>
    </row>
    <row r="52" spans="1:4" x14ac:dyDescent="0.3">
      <c r="A52" t="s">
        <v>70</v>
      </c>
      <c r="B52" t="s">
        <v>71</v>
      </c>
      <c r="C52" t="s">
        <v>24</v>
      </c>
      <c r="D52" s="2">
        <v>1159</v>
      </c>
    </row>
    <row r="53" spans="1:4" x14ac:dyDescent="0.3">
      <c r="A53" t="s">
        <v>70</v>
      </c>
      <c r="B53" t="s">
        <v>71</v>
      </c>
      <c r="C53" t="s">
        <v>72</v>
      </c>
      <c r="D53" s="2">
        <v>2890</v>
      </c>
    </row>
    <row r="54" spans="1:4" x14ac:dyDescent="0.3">
      <c r="A54" t="s">
        <v>70</v>
      </c>
      <c r="B54" t="s">
        <v>71</v>
      </c>
      <c r="C54" t="s">
        <v>73</v>
      </c>
      <c r="D54" s="2">
        <v>7245</v>
      </c>
    </row>
    <row r="55" spans="1:4" x14ac:dyDescent="0.3">
      <c r="A55" t="s">
        <v>70</v>
      </c>
      <c r="B55" t="s">
        <v>71</v>
      </c>
      <c r="C55" t="s">
        <v>69</v>
      </c>
      <c r="D55" s="2">
        <v>5807</v>
      </c>
    </row>
    <row r="56" spans="1:4" x14ac:dyDescent="0.3">
      <c r="A56" t="s">
        <v>74</v>
      </c>
      <c r="B56" t="s">
        <v>75</v>
      </c>
      <c r="C56" s="4" t="s">
        <v>76</v>
      </c>
      <c r="D56" s="2" t="s">
        <v>77</v>
      </c>
    </row>
    <row r="57" spans="1:4" x14ac:dyDescent="0.3">
      <c r="A57" t="s">
        <v>74</v>
      </c>
      <c r="B57" t="s">
        <v>75</v>
      </c>
      <c r="C57" t="s">
        <v>22</v>
      </c>
      <c r="D57" s="2" t="s">
        <v>78</v>
      </c>
    </row>
    <row r="58" spans="1:4" x14ac:dyDescent="0.3">
      <c r="A58" t="s">
        <v>74</v>
      </c>
      <c r="B58" t="s">
        <v>75</v>
      </c>
      <c r="C58" t="s">
        <v>24</v>
      </c>
      <c r="D58" s="2" t="s">
        <v>79</v>
      </c>
    </row>
    <row r="59" spans="1:4" x14ac:dyDescent="0.3">
      <c r="A59" t="s">
        <v>74</v>
      </c>
      <c r="B59" t="s">
        <v>75</v>
      </c>
      <c r="C59" t="s">
        <v>7</v>
      </c>
      <c r="D59" s="2" t="s">
        <v>80</v>
      </c>
    </row>
    <row r="60" spans="1:4" x14ac:dyDescent="0.3">
      <c r="A60" t="s">
        <v>74</v>
      </c>
      <c r="B60" t="s">
        <v>75</v>
      </c>
      <c r="C60" t="s">
        <v>13</v>
      </c>
      <c r="D60" s="2" t="s">
        <v>81</v>
      </c>
    </row>
    <row r="61" spans="1:4" x14ac:dyDescent="0.3">
      <c r="A61" t="s">
        <v>67</v>
      </c>
      <c r="B61" t="s">
        <v>68</v>
      </c>
      <c r="C61" t="s">
        <v>22</v>
      </c>
      <c r="D61" s="2" t="s">
        <v>82</v>
      </c>
    </row>
    <row r="62" spans="1:4" x14ac:dyDescent="0.3">
      <c r="A62" t="s">
        <v>67</v>
      </c>
      <c r="B62" t="s">
        <v>68</v>
      </c>
      <c r="C62" t="s">
        <v>24</v>
      </c>
      <c r="D62" s="2" t="s">
        <v>83</v>
      </c>
    </row>
    <row r="63" spans="1:4" x14ac:dyDescent="0.3">
      <c r="A63" t="s">
        <v>67</v>
      </c>
      <c r="B63" t="s">
        <v>68</v>
      </c>
      <c r="C63" t="s">
        <v>84</v>
      </c>
      <c r="D63" s="2" t="s">
        <v>85</v>
      </c>
    </row>
    <row r="64" spans="1:4" x14ac:dyDescent="0.3">
      <c r="A64" t="s">
        <v>67</v>
      </c>
      <c r="B64" t="s">
        <v>68</v>
      </c>
      <c r="C64" t="s">
        <v>86</v>
      </c>
      <c r="D64" s="2" t="s">
        <v>87</v>
      </c>
    </row>
    <row r="65" spans="1:4" x14ac:dyDescent="0.3">
      <c r="A65" t="s">
        <v>67</v>
      </c>
      <c r="B65" t="s">
        <v>88</v>
      </c>
      <c r="C65" s="4" t="s">
        <v>76</v>
      </c>
      <c r="D65" s="2" t="s">
        <v>89</v>
      </c>
    </row>
    <row r="66" spans="1:4" x14ac:dyDescent="0.3">
      <c r="A66" t="s">
        <v>67</v>
      </c>
      <c r="B66" t="s">
        <v>88</v>
      </c>
      <c r="C66" t="s">
        <v>22</v>
      </c>
      <c r="D66" s="2" t="s">
        <v>90</v>
      </c>
    </row>
    <row r="67" spans="1:4" x14ac:dyDescent="0.3">
      <c r="A67" t="s">
        <v>67</v>
      </c>
      <c r="B67" t="s">
        <v>88</v>
      </c>
      <c r="C67" t="s">
        <v>24</v>
      </c>
      <c r="D67" s="2" t="s">
        <v>91</v>
      </c>
    </row>
    <row r="68" spans="1:4" x14ac:dyDescent="0.3">
      <c r="A68" t="s">
        <v>67</v>
      </c>
      <c r="B68" t="s">
        <v>88</v>
      </c>
      <c r="C68" t="s">
        <v>30</v>
      </c>
      <c r="D68" s="2" t="s">
        <v>92</v>
      </c>
    </row>
    <row r="69" spans="1:4" x14ac:dyDescent="0.3">
      <c r="A69" t="s">
        <v>67</v>
      </c>
      <c r="B69" t="s">
        <v>88</v>
      </c>
      <c r="C69" t="s">
        <v>43</v>
      </c>
      <c r="D69" s="2" t="s">
        <v>93</v>
      </c>
    </row>
    <row r="70" spans="1:4" x14ac:dyDescent="0.3">
      <c r="A70" t="s">
        <v>67</v>
      </c>
      <c r="B70" t="s">
        <v>88</v>
      </c>
      <c r="C70" t="s">
        <v>94</v>
      </c>
      <c r="D70" s="2" t="s">
        <v>95</v>
      </c>
    </row>
    <row r="71" spans="1:4" x14ac:dyDescent="0.3">
      <c r="A71" t="s">
        <v>67</v>
      </c>
      <c r="B71" t="s">
        <v>88</v>
      </c>
      <c r="C71" t="s">
        <v>13</v>
      </c>
      <c r="D71" s="2" t="s">
        <v>96</v>
      </c>
    </row>
    <row r="72" spans="1:4" x14ac:dyDescent="0.3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57B9-A896-4450-97D5-61C377066F63}">
  <dimension ref="A1:R23"/>
  <sheetViews>
    <sheetView topLeftCell="B1" zoomScale="57" workbookViewId="0">
      <selection activeCell="E18" sqref="E18"/>
    </sheetView>
  </sheetViews>
  <sheetFormatPr defaultRowHeight="12.75" x14ac:dyDescent="0.3"/>
  <cols>
    <col min="1" max="1" width="17" customWidth="1"/>
    <col min="2" max="2" width="19.5" customWidth="1"/>
    <col min="3" max="3" width="16.7109375" customWidth="1"/>
    <col min="4" max="4" width="18.640625" customWidth="1"/>
    <col min="5" max="5" width="20.5703125" customWidth="1"/>
    <col min="6" max="6" width="21.78515625" customWidth="1"/>
    <col min="7" max="7" width="15.140625" customWidth="1"/>
    <col min="8" max="8" width="19.28515625" customWidth="1"/>
    <col min="9" max="12" width="20.640625" customWidth="1"/>
    <col min="13" max="15" width="20.640625" style="9" customWidth="1"/>
    <col min="16" max="18" width="9.140625" style="9"/>
  </cols>
  <sheetData>
    <row r="1" spans="1:15" ht="30" customHeight="1" x14ac:dyDescent="0.3">
      <c r="A1" s="10" t="s">
        <v>101</v>
      </c>
      <c r="B1" s="10" t="s">
        <v>106</v>
      </c>
      <c r="C1" s="10" t="s">
        <v>108</v>
      </c>
      <c r="D1" s="10" t="s">
        <v>102</v>
      </c>
      <c r="E1" s="10" t="s">
        <v>103</v>
      </c>
      <c r="F1" s="10" t="s">
        <v>104</v>
      </c>
      <c r="G1" s="10" t="s">
        <v>105</v>
      </c>
      <c r="H1" s="10" t="s">
        <v>137</v>
      </c>
    </row>
    <row r="2" spans="1:15" ht="30" customHeight="1" x14ac:dyDescent="0.3">
      <c r="A2" s="10">
        <v>355</v>
      </c>
      <c r="B2" s="10">
        <v>49</v>
      </c>
      <c r="C2" s="10">
        <v>-320.17239999999998</v>
      </c>
      <c r="D2" s="7">
        <f>EXP(C2/1000)</f>
        <v>0.72602385977029305</v>
      </c>
      <c r="E2" s="11">
        <f>(G2*(1+A2/1000)/D2)</f>
        <v>2.9069953715677571E-4</v>
      </c>
      <c r="F2" s="11">
        <f>(G2*B2/(1000*D2))</f>
        <v>1.0512381786481187E-5</v>
      </c>
      <c r="G2" s="11">
        <v>1.5576000000000001E-4</v>
      </c>
      <c r="H2" t="s">
        <v>138</v>
      </c>
    </row>
    <row r="3" spans="1:15" ht="30" customHeight="1" x14ac:dyDescent="0.3">
      <c r="A3" s="10">
        <v>341</v>
      </c>
      <c r="B3" s="10">
        <v>186</v>
      </c>
      <c r="C3" s="10">
        <v>-320.17239999999998</v>
      </c>
      <c r="D3" s="7">
        <f t="shared" ref="D3:D11" si="0">EXP(C3/1000)</f>
        <v>0.72602385977029305</v>
      </c>
      <c r="E3" s="11">
        <f>(G3*(1+A3/1000)/D3)</f>
        <v>2.8769599950349535E-4</v>
      </c>
      <c r="F3" s="11">
        <f>(G3*B3/(1000*D3))</f>
        <v>3.9904143107867363E-5</v>
      </c>
      <c r="G3" s="11">
        <v>1.5576000000000001E-4</v>
      </c>
      <c r="H3" t="s">
        <v>138</v>
      </c>
    </row>
    <row r="4" spans="1:15" ht="30" customHeight="1" x14ac:dyDescent="0.3">
      <c r="A4" s="10">
        <v>307</v>
      </c>
      <c r="B4" s="10">
        <v>157</v>
      </c>
      <c r="C4" s="10">
        <v>-320.17239999999998</v>
      </c>
      <c r="D4" s="7">
        <f t="shared" si="0"/>
        <v>0.72602385977029305</v>
      </c>
      <c r="E4" s="11">
        <f>(G4*(1+A4/1000)/D4)</f>
        <v>2.8040169377410024E-4</v>
      </c>
      <c r="F4" s="11">
        <f>(G4*B4/(1000*D4))</f>
        <v>3.3682529397500948E-5</v>
      </c>
      <c r="G4" s="11">
        <v>1.5576000000000001E-4</v>
      </c>
      <c r="H4" t="s">
        <v>138</v>
      </c>
    </row>
    <row r="5" spans="1:15" ht="30" customHeight="1" x14ac:dyDescent="0.3">
      <c r="A5" s="10">
        <v>366</v>
      </c>
      <c r="B5" s="10">
        <v>71</v>
      </c>
      <c r="C5" s="10">
        <v>-320.17239999999998</v>
      </c>
      <c r="D5" s="7">
        <f t="shared" si="0"/>
        <v>0.72602385977029305</v>
      </c>
      <c r="E5" s="11">
        <f>(G5*(1+A5/1000)/D5)</f>
        <v>2.9305945959863885E-4</v>
      </c>
      <c r="F5" s="11">
        <f>(G5*B5/(1000*D5))</f>
        <v>1.5232226670207436E-5</v>
      </c>
      <c r="G5" s="11">
        <v>1.5576000000000001E-4</v>
      </c>
      <c r="H5" t="s">
        <v>138</v>
      </c>
    </row>
    <row r="6" spans="1:15" ht="30" customHeight="1" x14ac:dyDescent="0.3">
      <c r="A6" s="10">
        <v>866</v>
      </c>
      <c r="B6" s="10">
        <v>60</v>
      </c>
      <c r="C6" s="10">
        <v>-320.17239999999998</v>
      </c>
      <c r="D6" s="7">
        <f t="shared" si="0"/>
        <v>0.72602385977029305</v>
      </c>
      <c r="E6" s="11">
        <f>(G6*(1+A6/1000)/D6)</f>
        <v>4.0032866150150812E-4</v>
      </c>
      <c r="F6" s="11">
        <f>(G6*B6/(1000*D6))</f>
        <v>1.2872304228344312E-5</v>
      </c>
      <c r="G6" s="11">
        <v>1.5576000000000001E-4</v>
      </c>
      <c r="H6" t="s">
        <v>139</v>
      </c>
    </row>
    <row r="7" spans="1:15" ht="30" customHeight="1" x14ac:dyDescent="0.3">
      <c r="A7" s="10">
        <v>1070</v>
      </c>
      <c r="B7" s="10">
        <v>82</v>
      </c>
      <c r="C7" s="10">
        <v>-320.17239999999998</v>
      </c>
      <c r="D7" s="7">
        <f t="shared" si="0"/>
        <v>0.72602385977029305</v>
      </c>
      <c r="E7" s="11">
        <f>(G7*(1+A7/1000)/D7)</f>
        <v>4.4409449587787882E-4</v>
      </c>
      <c r="F7" s="11">
        <f>(G7*B7/(1000*D7))</f>
        <v>1.7592149112070558E-5</v>
      </c>
      <c r="G7" s="11">
        <v>1.5576000000000001E-4</v>
      </c>
      <c r="H7" t="s">
        <v>139</v>
      </c>
    </row>
    <row r="8" spans="1:15" ht="30" customHeight="1" x14ac:dyDescent="0.3">
      <c r="A8" s="10">
        <v>1241</v>
      </c>
      <c r="B8" s="10">
        <v>216</v>
      </c>
      <c r="C8" s="10">
        <v>-320.17239999999998</v>
      </c>
      <c r="D8" s="7">
        <f t="shared" si="0"/>
        <v>0.72602385977029305</v>
      </c>
      <c r="E8" s="11">
        <f>(G8*(1+A8/1000)/D8)</f>
        <v>4.8078056292866005E-4</v>
      </c>
      <c r="F8" s="11">
        <f>(G8*B8/(1000*D8))</f>
        <v>4.634029522203953E-5</v>
      </c>
      <c r="G8" s="11">
        <v>1.5576000000000001E-4</v>
      </c>
      <c r="H8" t="s">
        <v>139</v>
      </c>
    </row>
    <row r="9" spans="1:15" ht="30" customHeight="1" x14ac:dyDescent="0.3">
      <c r="A9" s="10">
        <v>868</v>
      </c>
      <c r="B9" s="10">
        <v>0</v>
      </c>
      <c r="C9" s="10">
        <v>-320.17239999999998</v>
      </c>
      <c r="D9" s="7">
        <f t="shared" si="0"/>
        <v>0.72602385977029305</v>
      </c>
      <c r="E9" s="11">
        <f>(G9*(1+A9/1000)/D9)</f>
        <v>4.0075773830911958E-4</v>
      </c>
      <c r="F9" s="11">
        <f>(G9*B9/(1000*D9))</f>
        <v>0</v>
      </c>
      <c r="G9" s="11">
        <v>1.5576000000000001E-4</v>
      </c>
      <c r="H9" t="s">
        <v>139</v>
      </c>
    </row>
    <row r="10" spans="1:15" ht="30" customHeight="1" x14ac:dyDescent="0.3">
      <c r="A10" s="10">
        <v>975</v>
      </c>
      <c r="B10" s="10">
        <v>128</v>
      </c>
      <c r="C10" s="10">
        <v>-320.17239999999998</v>
      </c>
      <c r="D10" s="7">
        <f t="shared" si="0"/>
        <v>0.72602385977029305</v>
      </c>
      <c r="E10" s="11">
        <f>(G10*(1+A10/1000)/D10)</f>
        <v>4.2371334751633357E-4</v>
      </c>
      <c r="F10" s="11">
        <f>(G10*B10/(1000*D10))</f>
        <v>2.7460915687134531E-5</v>
      </c>
      <c r="G10" s="11">
        <v>1.5576000000000001E-4</v>
      </c>
      <c r="H10" t="s">
        <v>135</v>
      </c>
    </row>
    <row r="11" spans="1:15" ht="30" customHeight="1" x14ac:dyDescent="0.3">
      <c r="A11" s="10">
        <v>399</v>
      </c>
      <c r="B11" s="10">
        <v>17</v>
      </c>
      <c r="C11" s="10">
        <v>-320.17239999999998</v>
      </c>
      <c r="D11" s="7">
        <f t="shared" si="0"/>
        <v>0.72602385977029305</v>
      </c>
      <c r="E11" s="11">
        <f>(G11*(1+A11/1000)/D11)</f>
        <v>3.0013922692422821E-4</v>
      </c>
      <c r="F11" s="11">
        <f>(G11*B11/(1000*D11))</f>
        <v>3.647152864697555E-6</v>
      </c>
      <c r="G11" s="11">
        <v>1.5576000000000001E-4</v>
      </c>
      <c r="H11" t="s">
        <v>139</v>
      </c>
    </row>
    <row r="12" spans="1:15" ht="30" customHeight="1" x14ac:dyDescent="0.3"/>
    <row r="13" spans="1:15" ht="30" customHeight="1" x14ac:dyDescent="0.3">
      <c r="I13" s="10"/>
      <c r="J13" s="10"/>
      <c r="K13" s="10"/>
      <c r="L13" s="10"/>
      <c r="M13" s="10"/>
      <c r="N13" s="10"/>
      <c r="O13" s="10"/>
    </row>
    <row r="14" spans="1:15" ht="30" customHeight="1" x14ac:dyDescent="0.3">
      <c r="I14" s="10"/>
      <c r="J14" s="10"/>
      <c r="K14" s="10"/>
      <c r="L14" s="7"/>
      <c r="M14" s="11"/>
      <c r="N14" s="11"/>
      <c r="O14" s="11"/>
    </row>
    <row r="15" spans="1:15" ht="30" customHeight="1" x14ac:dyDescent="0.3">
      <c r="I15" s="10"/>
      <c r="J15" s="10"/>
      <c r="K15" s="10"/>
      <c r="L15" s="7"/>
      <c r="M15" s="11"/>
      <c r="N15" s="11"/>
      <c r="O15" s="11"/>
    </row>
    <row r="16" spans="1:15" x14ac:dyDescent="0.3">
      <c r="I16" s="10"/>
      <c r="J16" s="10"/>
      <c r="K16" s="10"/>
      <c r="L16" s="7"/>
      <c r="M16" s="11"/>
      <c r="N16" s="11"/>
      <c r="O16" s="11"/>
    </row>
    <row r="17" spans="9:15" x14ac:dyDescent="0.3">
      <c r="I17" s="10"/>
      <c r="J17" s="10"/>
      <c r="K17" s="10"/>
      <c r="L17" s="7"/>
      <c r="M17" s="11"/>
      <c r="N17" s="11"/>
      <c r="O17" s="11"/>
    </row>
    <row r="18" spans="9:15" x14ac:dyDescent="0.3">
      <c r="I18" s="10"/>
      <c r="J18" s="10"/>
      <c r="K18" s="10"/>
      <c r="L18" s="7"/>
      <c r="M18" s="11"/>
      <c r="N18" s="11"/>
      <c r="O18" s="11"/>
    </row>
    <row r="19" spans="9:15" x14ac:dyDescent="0.3">
      <c r="I19" s="10"/>
      <c r="J19" s="10"/>
      <c r="K19" s="10"/>
      <c r="L19" s="7"/>
      <c r="M19" s="11"/>
      <c r="N19" s="11"/>
      <c r="O19" s="11"/>
    </row>
    <row r="20" spans="9:15" x14ac:dyDescent="0.3">
      <c r="I20" s="10"/>
      <c r="J20" s="10"/>
      <c r="K20" s="10"/>
      <c r="L20" s="7"/>
      <c r="M20" s="11"/>
      <c r="N20" s="11"/>
      <c r="O20" s="11"/>
    </row>
    <row r="21" spans="9:15" x14ac:dyDescent="0.3">
      <c r="I21" s="10"/>
      <c r="J21" s="10"/>
      <c r="K21" s="10"/>
      <c r="L21" s="7"/>
      <c r="M21" s="11"/>
      <c r="N21" s="11"/>
      <c r="O21" s="11"/>
    </row>
    <row r="22" spans="9:15" x14ac:dyDescent="0.3">
      <c r="I22" s="10"/>
      <c r="J22" s="10"/>
      <c r="K22" s="10"/>
      <c r="L22" s="7"/>
      <c r="M22" s="11"/>
      <c r="N22" s="11"/>
      <c r="O22" s="11"/>
    </row>
    <row r="23" spans="9:15" x14ac:dyDescent="0.3">
      <c r="I23" s="10"/>
      <c r="J23" s="10"/>
      <c r="K23" s="10"/>
      <c r="L23" s="7"/>
      <c r="M23" s="11"/>
      <c r="N23" s="11"/>
      <c r="O23" s="1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4CEA-3EAE-430D-8972-38B7F298069B}">
  <dimension ref="A1:S77"/>
  <sheetViews>
    <sheetView tabSelected="1" zoomScale="41" zoomScaleNormal="40" workbookViewId="0">
      <selection activeCell="H57" sqref="H57"/>
    </sheetView>
  </sheetViews>
  <sheetFormatPr defaultRowHeight="12.75" x14ac:dyDescent="0.3"/>
  <cols>
    <col min="2" max="2" width="9.140625" customWidth="1"/>
    <col min="3" max="3" width="26.140625" customWidth="1"/>
    <col min="4" max="14" width="20.640625" customWidth="1"/>
    <col min="15" max="19" width="25.640625" customWidth="1"/>
  </cols>
  <sheetData>
    <row r="1" spans="1:19" ht="20" customHeight="1" x14ac:dyDescent="0.3">
      <c r="B1" s="8"/>
      <c r="C1" s="13" t="s">
        <v>98</v>
      </c>
      <c r="D1" s="8" t="s">
        <v>99</v>
      </c>
      <c r="E1" s="8" t="s">
        <v>101</v>
      </c>
      <c r="F1" s="8" t="s">
        <v>106</v>
      </c>
      <c r="G1" s="8" t="s">
        <v>120</v>
      </c>
      <c r="H1" s="8" t="s">
        <v>121</v>
      </c>
      <c r="I1" s="8" t="s">
        <v>111</v>
      </c>
      <c r="J1" s="8" t="s">
        <v>112</v>
      </c>
      <c r="K1" s="8" t="s">
        <v>114</v>
      </c>
      <c r="L1" s="8" t="s">
        <v>113</v>
      </c>
      <c r="M1" s="8" t="s">
        <v>115</v>
      </c>
      <c r="N1" s="8" t="s">
        <v>116</v>
      </c>
      <c r="O1" s="8" t="s">
        <v>109</v>
      </c>
      <c r="P1" s="8" t="s">
        <v>110</v>
      </c>
      <c r="Q1" s="8" t="s">
        <v>117</v>
      </c>
      <c r="R1" s="8" t="s">
        <v>118</v>
      </c>
      <c r="S1" s="8" t="s">
        <v>119</v>
      </c>
    </row>
    <row r="2" spans="1:19" s="4" customFormat="1" ht="20" customHeight="1" x14ac:dyDescent="0.3">
      <c r="A2" s="4" t="s">
        <v>129</v>
      </c>
      <c r="B2" s="17">
        <v>1</v>
      </c>
      <c r="C2" s="17" t="s">
        <v>3</v>
      </c>
      <c r="D2" s="17" t="s">
        <v>4</v>
      </c>
      <c r="E2" s="17">
        <v>355</v>
      </c>
      <c r="F2" s="17">
        <v>49</v>
      </c>
      <c r="G2" s="27">
        <v>2.9069953715677571E-4</v>
      </c>
      <c r="H2" s="27">
        <v>1.0512381786481187E-5</v>
      </c>
      <c r="I2" s="28"/>
      <c r="J2" s="17"/>
      <c r="K2" s="29">
        <f t="shared" ref="K2:K57" si="0">(4*(O2*(1+E2/1000))-G2*J2)/3</f>
        <v>2.8140640000000002E-4</v>
      </c>
      <c r="L2" s="27">
        <f t="shared" ref="L2:L9" si="1">SQRT(((4*O2/(3*1000))^2*(F2^2)) + ((J2/3)^2*(H2^2)))</f>
        <v>1.0176320000000001E-5</v>
      </c>
      <c r="M2" s="29">
        <f t="shared" ref="M2:M57" si="2">(K2/O2-1)*1000</f>
        <v>806.66666666666663</v>
      </c>
      <c r="N2" s="29">
        <f t="shared" ref="N2:N42" si="3">(1000*L2/O2)</f>
        <v>65.333333333333329</v>
      </c>
      <c r="O2" s="29">
        <v>1.5576000000000001E-4</v>
      </c>
      <c r="P2" s="17"/>
      <c r="Q2" s="17"/>
    </row>
    <row r="3" spans="1:19" ht="20" customHeight="1" x14ac:dyDescent="0.3">
      <c r="A3" t="s">
        <v>129</v>
      </c>
      <c r="B3" s="8">
        <v>1</v>
      </c>
      <c r="C3" s="8" t="s">
        <v>3</v>
      </c>
      <c r="D3" s="26" t="s">
        <v>122</v>
      </c>
      <c r="E3" s="8">
        <v>410</v>
      </c>
      <c r="F3" s="8">
        <v>116</v>
      </c>
      <c r="G3" s="12">
        <v>2.9069953715677571E-4</v>
      </c>
      <c r="H3" s="12">
        <v>1.0512381786481187E-5</v>
      </c>
      <c r="I3" s="14"/>
      <c r="J3" s="8"/>
      <c r="K3" s="20">
        <f t="shared" si="0"/>
        <v>2.9282880000000002E-4</v>
      </c>
      <c r="L3" s="12">
        <f t="shared" si="1"/>
        <v>2.4090880000000002E-5</v>
      </c>
      <c r="M3" s="21">
        <f t="shared" si="2"/>
        <v>879.99999999999989</v>
      </c>
      <c r="N3" s="21">
        <f t="shared" si="3"/>
        <v>154.66666666666666</v>
      </c>
      <c r="O3" s="11">
        <v>1.5576000000000001E-4</v>
      </c>
      <c r="P3" s="8"/>
      <c r="Q3" s="8"/>
    </row>
    <row r="4" spans="1:19" ht="20" customHeight="1" x14ac:dyDescent="0.3">
      <c r="A4" t="s">
        <v>129</v>
      </c>
      <c r="B4" s="8">
        <v>1</v>
      </c>
      <c r="C4" s="8" t="s">
        <v>3</v>
      </c>
      <c r="D4" s="8" t="s">
        <v>125</v>
      </c>
      <c r="E4" s="8">
        <v>58</v>
      </c>
      <c r="F4" s="8">
        <v>6</v>
      </c>
      <c r="G4" s="12">
        <v>2.9069953715677571E-4</v>
      </c>
      <c r="H4" s="12">
        <v>1.0512381786481187E-5</v>
      </c>
      <c r="I4" s="14">
        <v>-368.14659999999998</v>
      </c>
      <c r="J4" s="12">
        <f t="shared" ref="J4:J10" si="4">EXP(I4/1000)</f>
        <v>0.69201572474687045</v>
      </c>
      <c r="K4" s="20">
        <f t="shared" si="0"/>
        <v>1.5266922303695804E-4</v>
      </c>
      <c r="L4" s="12">
        <f t="shared" si="1"/>
        <v>2.7263362840812393E-6</v>
      </c>
      <c r="M4" s="21">
        <f t="shared" si="2"/>
        <v>-19.843200841306974</v>
      </c>
      <c r="N4" s="21">
        <f t="shared" si="3"/>
        <v>17.503443015416273</v>
      </c>
      <c r="O4" s="11">
        <v>1.5576000000000001E-4</v>
      </c>
      <c r="P4" s="8"/>
      <c r="Q4" s="8"/>
    </row>
    <row r="5" spans="1:19" s="4" customFormat="1" ht="20" customHeight="1" x14ac:dyDescent="0.3">
      <c r="A5" s="4" t="s">
        <v>127</v>
      </c>
      <c r="B5" s="17">
        <v>2</v>
      </c>
      <c r="C5" s="17" t="s">
        <v>11</v>
      </c>
      <c r="D5" s="17" t="s">
        <v>4</v>
      </c>
      <c r="E5" s="17">
        <v>341</v>
      </c>
      <c r="F5" s="17">
        <v>186</v>
      </c>
      <c r="G5" s="27">
        <v>2.8769599950349497E-4</v>
      </c>
      <c r="H5" s="27">
        <v>3.9904143107867363E-5</v>
      </c>
      <c r="I5" s="30"/>
      <c r="J5" s="27">
        <f t="shared" si="4"/>
        <v>1</v>
      </c>
      <c r="K5" s="29">
        <f t="shared" si="0"/>
        <v>1.8260021349883503E-4</v>
      </c>
      <c r="L5" s="27">
        <f t="shared" si="1"/>
        <v>4.0854451465832762E-5</v>
      </c>
      <c r="M5" s="29">
        <f t="shared" si="2"/>
        <v>172.31775487182222</v>
      </c>
      <c r="N5" s="29">
        <f t="shared" si="3"/>
        <v>262.29103406415481</v>
      </c>
      <c r="O5" s="29">
        <v>1.5576000000000001E-4</v>
      </c>
      <c r="P5" s="17"/>
      <c r="Q5" s="17"/>
    </row>
    <row r="6" spans="1:19" ht="20" customHeight="1" x14ac:dyDescent="0.3">
      <c r="A6" t="s">
        <v>127</v>
      </c>
      <c r="B6" s="8">
        <v>2</v>
      </c>
      <c r="C6" s="8" t="s">
        <v>11</v>
      </c>
      <c r="D6" s="8" t="s">
        <v>13</v>
      </c>
      <c r="E6" s="8">
        <v>529</v>
      </c>
      <c r="F6" s="8">
        <v>57</v>
      </c>
      <c r="G6" s="12">
        <v>2.8769599950349535E-4</v>
      </c>
      <c r="H6" s="12">
        <v>3.9904143107867363E-5</v>
      </c>
      <c r="I6" s="14">
        <v>-369.47019999999998</v>
      </c>
      <c r="J6" s="12">
        <f t="shared" si="4"/>
        <v>0.691100378643281</v>
      </c>
      <c r="K6" s="20">
        <f t="shared" si="0"/>
        <v>2.5126711526965911E-4</v>
      </c>
      <c r="L6" s="12">
        <f t="shared" si="1"/>
        <v>1.4987870528844865E-5</v>
      </c>
      <c r="M6" s="21">
        <f t="shared" si="2"/>
        <v>613.16843393463728</v>
      </c>
      <c r="N6" s="21">
        <f t="shared" si="3"/>
        <v>96.224130257093378</v>
      </c>
      <c r="O6" s="11">
        <v>1.5576000000000001E-4</v>
      </c>
      <c r="P6" s="8"/>
      <c r="Q6" s="8">
        <v>-318.20209999999997</v>
      </c>
      <c r="R6" s="24">
        <f t="shared" ref="R6:R9" si="5">EXP(Q6/1000)</f>
        <v>0.72745575474930924</v>
      </c>
      <c r="S6" s="24">
        <f t="shared" ref="S6:S57" si="6">(4*R6-J6)/3</f>
        <v>0.73957421345131868</v>
      </c>
    </row>
    <row r="7" spans="1:19" ht="20" customHeight="1" x14ac:dyDescent="0.3">
      <c r="A7" t="s">
        <v>126</v>
      </c>
      <c r="B7" s="8">
        <v>2</v>
      </c>
      <c r="C7" s="8" t="s">
        <v>11</v>
      </c>
      <c r="D7" s="8" t="s">
        <v>7</v>
      </c>
      <c r="E7" s="8">
        <v>3027</v>
      </c>
      <c r="F7" s="8">
        <v>295</v>
      </c>
      <c r="G7" s="12">
        <v>2.8769599950349535E-4</v>
      </c>
      <c r="H7" s="12">
        <v>3.9904143107867363E-5</v>
      </c>
      <c r="I7" s="15"/>
      <c r="J7" s="12">
        <f>EXP(I7/1000)</f>
        <v>1</v>
      </c>
      <c r="K7" s="20">
        <f t="shared" si="0"/>
        <v>7.4042869349883508E-4</v>
      </c>
      <c r="L7" s="12">
        <f t="shared" si="1"/>
        <v>6.269290614434527E-5</v>
      </c>
      <c r="M7" s="21">
        <f t="shared" si="2"/>
        <v>3753.6510882051557</v>
      </c>
      <c r="N7" s="21">
        <f t="shared" si="3"/>
        <v>402.49682938074767</v>
      </c>
      <c r="O7" s="11">
        <v>1.5576000000000001E-4</v>
      </c>
      <c r="P7" s="8"/>
      <c r="Q7" s="8"/>
      <c r="R7" s="24">
        <f t="shared" si="5"/>
        <v>1</v>
      </c>
      <c r="S7" s="24">
        <f t="shared" si="6"/>
        <v>1</v>
      </c>
    </row>
    <row r="8" spans="1:19" ht="20" customHeight="1" x14ac:dyDescent="0.3">
      <c r="A8" t="s">
        <v>126</v>
      </c>
      <c r="B8" s="8">
        <v>2</v>
      </c>
      <c r="C8" s="8" t="s">
        <v>11</v>
      </c>
      <c r="D8" s="8" t="s">
        <v>123</v>
      </c>
      <c r="E8" s="8">
        <v>2904</v>
      </c>
      <c r="F8" s="8">
        <v>396</v>
      </c>
      <c r="G8" s="12">
        <v>2.8769599950349535E-4</v>
      </c>
      <c r="H8" s="12">
        <v>3.9904143107867363E-5</v>
      </c>
      <c r="I8" s="16"/>
      <c r="J8" s="12">
        <f>EXP(I8/1000)</f>
        <v>1</v>
      </c>
      <c r="K8" s="20">
        <f t="shared" si="0"/>
        <v>7.1488405349883497E-4</v>
      </c>
      <c r="L8" s="12">
        <f t="shared" si="1"/>
        <v>8.3309992638951096E-5</v>
      </c>
      <c r="M8" s="21">
        <f t="shared" si="2"/>
        <v>3589.6510882051552</v>
      </c>
      <c r="N8" s="21">
        <f t="shared" si="3"/>
        <v>534.86127785664542</v>
      </c>
      <c r="O8" s="11">
        <v>1.5576000000000001E-4</v>
      </c>
      <c r="P8" s="8"/>
      <c r="Q8" s="8"/>
      <c r="R8" s="24">
        <f t="shared" si="5"/>
        <v>1</v>
      </c>
      <c r="S8" s="24">
        <f t="shared" si="6"/>
        <v>1</v>
      </c>
    </row>
    <row r="9" spans="1:19" ht="20" customHeight="1" x14ac:dyDescent="0.3">
      <c r="A9" t="s">
        <v>126</v>
      </c>
      <c r="B9" s="8">
        <v>4</v>
      </c>
      <c r="C9" s="8" t="s">
        <v>20</v>
      </c>
      <c r="D9" s="17" t="s">
        <v>4</v>
      </c>
      <c r="E9" s="8">
        <v>366</v>
      </c>
      <c r="F9" s="8">
        <v>71</v>
      </c>
      <c r="G9" s="12">
        <v>2.9305945959863901E-4</v>
      </c>
      <c r="H9" s="12">
        <v>1.5232226670207436E-5</v>
      </c>
      <c r="I9" s="18"/>
      <c r="J9" s="12">
        <f t="shared" si="4"/>
        <v>1</v>
      </c>
      <c r="K9" s="20">
        <f t="shared" si="0"/>
        <v>1.8600439346712038E-4</v>
      </c>
      <c r="L9" s="12">
        <f t="shared" si="1"/>
        <v>1.5594978785344763E-5</v>
      </c>
      <c r="M9" s="21">
        <f t="shared" si="2"/>
        <v>194.1730448582457</v>
      </c>
      <c r="N9" s="21">
        <f t="shared" si="3"/>
        <v>100.12184633631716</v>
      </c>
      <c r="O9" s="11">
        <v>1.5576000000000001E-4</v>
      </c>
      <c r="P9" s="8"/>
      <c r="Q9" s="8"/>
      <c r="R9" s="24">
        <f t="shared" si="5"/>
        <v>1</v>
      </c>
      <c r="S9" s="24">
        <f t="shared" si="6"/>
        <v>1</v>
      </c>
    </row>
    <row r="10" spans="1:19" ht="19.899999999999999" customHeight="1" x14ac:dyDescent="0.3">
      <c r="A10" t="s">
        <v>126</v>
      </c>
      <c r="B10" s="8">
        <v>4</v>
      </c>
      <c r="C10" s="8" t="s">
        <v>20</v>
      </c>
      <c r="D10" s="22" t="s">
        <v>22</v>
      </c>
      <c r="E10" s="12">
        <v>725</v>
      </c>
      <c r="F10" s="12">
        <v>25</v>
      </c>
      <c r="G10" s="19">
        <v>2.9305945959863885E-4</v>
      </c>
      <c r="H10" s="19">
        <v>1.5232226670207436E-5</v>
      </c>
      <c r="I10" s="20">
        <v>-312.74279999999999</v>
      </c>
      <c r="J10" s="12">
        <f t="shared" si="4"/>
        <v>0.73143801423523203</v>
      </c>
      <c r="K10" s="20">
        <f>(4*(O10*(1+E10/1000))-G10*J10)/3</f>
        <v>2.8679639027277387E-4</v>
      </c>
      <c r="L10" s="12">
        <f>SQRT(((4*O10/(3*1000))^2*(F10^2)) + ((J10/3)^2*(H10^2)))</f>
        <v>6.3835137499004347E-6</v>
      </c>
      <c r="M10" s="21">
        <f>(K10/O10-1)*1000</f>
        <v>841.27112399058706</v>
      </c>
      <c r="N10" s="21">
        <f t="shared" si="3"/>
        <v>40.983010720983785</v>
      </c>
      <c r="O10" s="11">
        <v>1.5576000000000001E-4</v>
      </c>
      <c r="P10" s="8">
        <v>1</v>
      </c>
      <c r="Q10" s="8">
        <v>-375.09109999999998</v>
      </c>
      <c r="R10" s="24">
        <f>EXP(Q10/1000)</f>
        <v>0.6872266695895668</v>
      </c>
      <c r="S10" s="24">
        <f t="shared" si="6"/>
        <v>0.67248955470767846</v>
      </c>
    </row>
    <row r="11" spans="1:19" ht="20" customHeight="1" x14ac:dyDescent="0.3">
      <c r="A11" t="s">
        <v>126</v>
      </c>
      <c r="B11" s="8">
        <v>4</v>
      </c>
      <c r="C11" s="8" t="s">
        <v>20</v>
      </c>
      <c r="D11" s="22" t="s">
        <v>24</v>
      </c>
      <c r="E11" s="12">
        <v>765</v>
      </c>
      <c r="F11" s="12">
        <v>74</v>
      </c>
      <c r="G11" s="19">
        <v>2.9305945959863885E-4</v>
      </c>
      <c r="H11" s="19">
        <v>1.5232226670207436E-5</v>
      </c>
      <c r="I11" s="19">
        <v>-312.67140000000001</v>
      </c>
      <c r="J11" s="12">
        <f>EXP(I11/1000)</f>
        <v>0.73149024077391367</v>
      </c>
      <c r="K11" s="20">
        <f t="shared" si="0"/>
        <v>2.9509848844570628E-4</v>
      </c>
      <c r="L11" s="12">
        <f t="shared" ref="L11:L63" si="7">SQRT(((4*O11/(3*1000))^2*(F11^2)) + ((J11/3)^2*(H11^2)))</f>
        <v>1.5810743597649245E-5</v>
      </c>
      <c r="M11" s="21">
        <f t="shared" si="2"/>
        <v>894.57170291285479</v>
      </c>
      <c r="N11" s="21">
        <f t="shared" si="3"/>
        <v>101.50708524428123</v>
      </c>
      <c r="O11" s="11">
        <v>1.5576000000000001E-4</v>
      </c>
      <c r="P11" s="8">
        <v>2</v>
      </c>
      <c r="Q11" s="25">
        <v>-375.08920000000001</v>
      </c>
      <c r="R11" s="24">
        <f>EXP(Q11/1000)</f>
        <v>0.68722797532147939</v>
      </c>
      <c r="S11" s="24">
        <f t="shared" si="6"/>
        <v>0.67247388683733467</v>
      </c>
    </row>
    <row r="12" spans="1:19" ht="20" customHeight="1" x14ac:dyDescent="0.3">
      <c r="A12" t="s">
        <v>126</v>
      </c>
      <c r="B12" s="8">
        <v>4</v>
      </c>
      <c r="C12" s="8" t="s">
        <v>20</v>
      </c>
      <c r="D12" s="8" t="s">
        <v>13</v>
      </c>
      <c r="E12" s="8">
        <v>915</v>
      </c>
      <c r="F12" s="8">
        <v>54</v>
      </c>
      <c r="G12" s="12">
        <v>2.9305945959863885E-4</v>
      </c>
      <c r="H12" s="12">
        <v>1.5232226670207436E-5</v>
      </c>
      <c r="I12" s="8">
        <v>-369.47019999999998</v>
      </c>
      <c r="J12" s="12">
        <f t="shared" ref="J12:J63" si="8">EXP(I12/1000)</f>
        <v>0.691100378643281</v>
      </c>
      <c r="K12" s="20">
        <f t="shared" si="0"/>
        <v>3.3019603216879518E-4</v>
      </c>
      <c r="L12" s="12">
        <f t="shared" si="7"/>
        <v>1.1750873163696885E-5</v>
      </c>
      <c r="M12" s="21">
        <f t="shared" si="2"/>
        <v>1119.9026204981712</v>
      </c>
      <c r="N12" s="21">
        <f t="shared" si="3"/>
        <v>75.442174908172078</v>
      </c>
      <c r="O12" s="11">
        <v>1.5576000000000001E-4</v>
      </c>
      <c r="P12" s="8"/>
      <c r="Q12" s="8">
        <v>-318.20209999999997</v>
      </c>
      <c r="R12" s="24">
        <f t="shared" ref="R12:R63" si="9">EXP(Q12/1000)</f>
        <v>0.72745575474930924</v>
      </c>
      <c r="S12" s="24">
        <f t="shared" si="6"/>
        <v>0.73957421345131868</v>
      </c>
    </row>
    <row r="13" spans="1:19" ht="20" customHeight="1" x14ac:dyDescent="0.3">
      <c r="A13" t="s">
        <v>126</v>
      </c>
      <c r="B13" s="8">
        <v>4</v>
      </c>
      <c r="C13" s="8" t="s">
        <v>20</v>
      </c>
      <c r="D13" s="8" t="s">
        <v>7</v>
      </c>
      <c r="E13" s="8">
        <v>2362</v>
      </c>
      <c r="F13" s="8">
        <v>76</v>
      </c>
      <c r="G13" s="12">
        <v>2.9305945959863885E-4</v>
      </c>
      <c r="H13" s="12">
        <v>1.5232226670207436E-5</v>
      </c>
      <c r="I13" s="8"/>
      <c r="J13" s="12">
        <f t="shared" si="8"/>
        <v>1</v>
      </c>
      <c r="K13" s="20">
        <f t="shared" si="0"/>
        <v>6.0053367346712039E-4</v>
      </c>
      <c r="L13" s="12">
        <f t="shared" si="7"/>
        <v>1.6580248350955219E-5</v>
      </c>
      <c r="M13" s="21">
        <f t="shared" si="2"/>
        <v>2855.5063781915792</v>
      </c>
      <c r="N13" s="21">
        <f t="shared" si="3"/>
        <v>106.4474085192297</v>
      </c>
      <c r="O13" s="11">
        <v>1.5576000000000001E-4</v>
      </c>
      <c r="P13" s="8"/>
      <c r="Q13" s="8"/>
      <c r="R13" s="24">
        <f t="shared" si="9"/>
        <v>1</v>
      </c>
      <c r="S13" s="24">
        <f t="shared" si="6"/>
        <v>1</v>
      </c>
    </row>
    <row r="14" spans="1:19" ht="20" customHeight="1" x14ac:dyDescent="0.3">
      <c r="A14" t="s">
        <v>126</v>
      </c>
      <c r="B14" s="8">
        <v>4</v>
      </c>
      <c r="C14" s="8" t="s">
        <v>20</v>
      </c>
      <c r="D14" s="8" t="s">
        <v>28</v>
      </c>
      <c r="E14" s="8">
        <v>1212</v>
      </c>
      <c r="F14" s="8">
        <v>31</v>
      </c>
      <c r="G14" s="12">
        <v>2.9305945959863885E-4</v>
      </c>
      <c r="H14" s="12">
        <v>1.5232226670207436E-5</v>
      </c>
      <c r="I14" s="8"/>
      <c r="J14" s="12">
        <f t="shared" si="8"/>
        <v>1</v>
      </c>
      <c r="K14" s="20">
        <f t="shared" si="0"/>
        <v>3.6170167346712031E-4</v>
      </c>
      <c r="L14" s="12">
        <f t="shared" si="7"/>
        <v>8.199326504253456E-6</v>
      </c>
      <c r="M14" s="21">
        <f t="shared" si="2"/>
        <v>1322.1730448582455</v>
      </c>
      <c r="N14" s="21">
        <f t="shared" si="3"/>
        <v>52.640771085345762</v>
      </c>
      <c r="O14" s="11">
        <v>1.5576000000000001E-4</v>
      </c>
      <c r="P14" s="8"/>
      <c r="Q14" s="8"/>
      <c r="R14" s="24">
        <f t="shared" si="9"/>
        <v>1</v>
      </c>
      <c r="S14" s="24">
        <f t="shared" si="6"/>
        <v>1</v>
      </c>
    </row>
    <row r="15" spans="1:19" ht="20" customHeight="1" x14ac:dyDescent="0.3">
      <c r="A15" t="s">
        <v>126</v>
      </c>
      <c r="B15" s="8">
        <v>4</v>
      </c>
      <c r="C15" s="8" t="s">
        <v>20</v>
      </c>
      <c r="D15" s="22" t="s">
        <v>30</v>
      </c>
      <c r="E15" s="12">
        <v>1216</v>
      </c>
      <c r="F15" s="12">
        <v>82</v>
      </c>
      <c r="G15" s="19">
        <v>2.9305945959863885E-4</v>
      </c>
      <c r="H15" s="19">
        <v>1.5232226670207436E-5</v>
      </c>
      <c r="I15" s="12">
        <v>-149.7405</v>
      </c>
      <c r="J15" s="12">
        <f t="shared" si="8"/>
        <v>0.86093135912759222</v>
      </c>
      <c r="K15" s="20">
        <f t="shared" si="0"/>
        <v>3.7611752038084885E-4</v>
      </c>
      <c r="L15" s="12">
        <f t="shared" si="7"/>
        <v>1.7581837049598942E-5</v>
      </c>
      <c r="M15" s="21">
        <f t="shared" si="2"/>
        <v>1414.7247071189577</v>
      </c>
      <c r="N15" s="21">
        <f t="shared" si="3"/>
        <v>112.87774171545288</v>
      </c>
      <c r="O15" s="11">
        <v>1.5576000000000001E-4</v>
      </c>
      <c r="P15" s="8">
        <v>3</v>
      </c>
      <c r="Q15" s="8">
        <v>-346.4067</v>
      </c>
      <c r="R15" s="24">
        <f t="shared" si="9"/>
        <v>0.70722480028307644</v>
      </c>
      <c r="S15" s="24">
        <f t="shared" si="6"/>
        <v>0.65598928066823781</v>
      </c>
    </row>
    <row r="16" spans="1:19" ht="20" customHeight="1" x14ac:dyDescent="0.3">
      <c r="A16" t="s">
        <v>126</v>
      </c>
      <c r="B16" s="8">
        <v>4</v>
      </c>
      <c r="C16" s="8" t="s">
        <v>20</v>
      </c>
      <c r="D16" s="8" t="s">
        <v>16</v>
      </c>
      <c r="E16" s="8">
        <v>2081</v>
      </c>
      <c r="F16" s="8">
        <v>42</v>
      </c>
      <c r="G16" s="12">
        <v>2.9305945959863885E-4</v>
      </c>
      <c r="H16" s="12">
        <v>1.5232226670207436E-5</v>
      </c>
      <c r="I16" s="8"/>
      <c r="J16" s="12">
        <f t="shared" si="8"/>
        <v>1</v>
      </c>
      <c r="K16" s="20">
        <f t="shared" si="0"/>
        <v>5.4217559346712038E-4</v>
      </c>
      <c r="L16" s="12">
        <f t="shared" si="7"/>
        <v>1.0092726786679267E-5</v>
      </c>
      <c r="M16" s="21">
        <f t="shared" si="2"/>
        <v>2480.8397115249122</v>
      </c>
      <c r="N16" s="21">
        <f t="shared" si="3"/>
        <v>64.796653740878696</v>
      </c>
      <c r="O16" s="11">
        <v>1.5576000000000001E-4</v>
      </c>
      <c r="P16" s="8"/>
      <c r="Q16" s="8"/>
      <c r="R16" s="24">
        <f t="shared" si="9"/>
        <v>1</v>
      </c>
      <c r="S16" s="24">
        <f t="shared" si="6"/>
        <v>1</v>
      </c>
    </row>
    <row r="17" spans="1:19" s="4" customFormat="1" ht="20" customHeight="1" x14ac:dyDescent="0.3">
      <c r="A17" s="4" t="s">
        <v>130</v>
      </c>
      <c r="B17" s="17">
        <v>5</v>
      </c>
      <c r="C17" s="17" t="s">
        <v>33</v>
      </c>
      <c r="D17" s="17" t="s">
        <v>4</v>
      </c>
      <c r="E17" s="17">
        <v>866</v>
      </c>
      <c r="F17" s="17">
        <v>60</v>
      </c>
      <c r="G17" s="27">
        <v>4.0032866150150812E-4</v>
      </c>
      <c r="H17" s="27">
        <v>1.2872304228344312E-5</v>
      </c>
      <c r="I17" s="31"/>
      <c r="J17" s="27">
        <f t="shared" si="8"/>
        <v>1</v>
      </c>
      <c r="K17" s="29">
        <f t="shared" si="0"/>
        <v>2.5408799283283066E-4</v>
      </c>
      <c r="L17" s="27">
        <f t="shared" si="7"/>
        <v>1.3178855311558956E-5</v>
      </c>
      <c r="M17" s="29">
        <f t="shared" si="2"/>
        <v>631.27884458674009</v>
      </c>
      <c r="N17" s="29">
        <f t="shared" si="3"/>
        <v>84.61001098843704</v>
      </c>
      <c r="O17" s="29">
        <v>1.5576000000000001E-4</v>
      </c>
      <c r="P17" s="17"/>
      <c r="Q17" s="17"/>
      <c r="R17" s="32">
        <f t="shared" si="9"/>
        <v>1</v>
      </c>
      <c r="S17" s="32">
        <f t="shared" si="6"/>
        <v>1</v>
      </c>
    </row>
    <row r="18" spans="1:19" ht="20" customHeight="1" x14ac:dyDescent="0.3">
      <c r="A18" t="s">
        <v>130</v>
      </c>
      <c r="B18" s="8">
        <v>5</v>
      </c>
      <c r="C18" s="8" t="s">
        <v>33</v>
      </c>
      <c r="D18" s="22" t="s">
        <v>22</v>
      </c>
      <c r="E18" s="12">
        <v>1382</v>
      </c>
      <c r="F18" s="12">
        <v>226</v>
      </c>
      <c r="G18" s="19">
        <v>4.0032866150150812E-4</v>
      </c>
      <c r="H18" s="19">
        <v>1.2872304228344312E-5</v>
      </c>
      <c r="I18" s="20">
        <v>-312.74279999999999</v>
      </c>
      <c r="J18" s="12">
        <f t="shared" si="8"/>
        <v>0.73143801423523203</v>
      </c>
      <c r="K18" s="20">
        <f t="shared" si="0"/>
        <v>3.9708855959662948E-4</v>
      </c>
      <c r="L18" s="12">
        <f t="shared" si="7"/>
        <v>4.7040491126880006E-5</v>
      </c>
      <c r="M18" s="21">
        <f t="shared" si="2"/>
        <v>1549.3615793312113</v>
      </c>
      <c r="N18" s="21">
        <f t="shared" si="3"/>
        <v>302.00623476425267</v>
      </c>
      <c r="O18" s="11">
        <v>1.5576000000000001E-4</v>
      </c>
      <c r="P18" s="8">
        <v>1</v>
      </c>
      <c r="Q18" s="8">
        <v>-375.09109999999998</v>
      </c>
      <c r="R18" s="24">
        <f t="shared" si="9"/>
        <v>0.6872266695895668</v>
      </c>
      <c r="S18" s="24">
        <f t="shared" si="6"/>
        <v>0.67248955470767846</v>
      </c>
    </row>
    <row r="19" spans="1:19" ht="20" customHeight="1" x14ac:dyDescent="0.3">
      <c r="A19" t="s">
        <v>128</v>
      </c>
      <c r="B19" s="8">
        <v>5</v>
      </c>
      <c r="C19" s="8" t="s">
        <v>33</v>
      </c>
      <c r="D19" s="22" t="s">
        <v>24</v>
      </c>
      <c r="E19" s="12">
        <v>1528</v>
      </c>
      <c r="F19" s="12">
        <v>113</v>
      </c>
      <c r="G19" s="19">
        <v>4.0032866150150812E-4</v>
      </c>
      <c r="H19" s="19">
        <v>1.2872304228344312E-5</v>
      </c>
      <c r="I19" s="19">
        <v>-312.67140000000001</v>
      </c>
      <c r="J19" s="12">
        <f t="shared" si="8"/>
        <v>0.73149024077391367</v>
      </c>
      <c r="K19" s="20">
        <f t="shared" si="0"/>
        <v>4.2740287033652113E-4</v>
      </c>
      <c r="L19" s="12">
        <f t="shared" si="7"/>
        <v>2.3676796010139956E-5</v>
      </c>
      <c r="M19" s="21">
        <f t="shared" si="2"/>
        <v>1743.9835024173158</v>
      </c>
      <c r="N19" s="21">
        <f t="shared" si="3"/>
        <v>152.00819215549532</v>
      </c>
      <c r="O19" s="11">
        <v>1.5576000000000001E-4</v>
      </c>
      <c r="P19" s="8">
        <v>2</v>
      </c>
      <c r="Q19" s="25">
        <v>-375.08920000000001</v>
      </c>
      <c r="R19" s="24">
        <f t="shared" si="9"/>
        <v>0.68722797532147939</v>
      </c>
      <c r="S19" s="24">
        <f t="shared" si="6"/>
        <v>0.67247388683733467</v>
      </c>
    </row>
    <row r="20" spans="1:19" ht="20" customHeight="1" x14ac:dyDescent="0.3">
      <c r="A20" t="s">
        <v>128</v>
      </c>
      <c r="B20" s="8">
        <v>5</v>
      </c>
      <c r="C20" s="8" t="s">
        <v>33</v>
      </c>
      <c r="D20" s="8" t="s">
        <v>13</v>
      </c>
      <c r="E20" s="8">
        <v>2286</v>
      </c>
      <c r="F20" s="8">
        <v>367</v>
      </c>
      <c r="G20" s="12">
        <v>4.0032866150150812E-4</v>
      </c>
      <c r="H20" s="12">
        <v>1.2872304228344312E-5</v>
      </c>
      <c r="I20" s="8">
        <v>-369.47019999999998</v>
      </c>
      <c r="J20" s="12">
        <f t="shared" si="8"/>
        <v>0.691100378643281</v>
      </c>
      <c r="K20" s="20">
        <f t="shared" si="0"/>
        <v>5.9021405015151666E-4</v>
      </c>
      <c r="L20" s="12">
        <f t="shared" si="7"/>
        <v>7.6276223016406679E-5</v>
      </c>
      <c r="M20" s="21">
        <f t="shared" si="2"/>
        <v>2789.2530184355201</v>
      </c>
      <c r="N20" s="21">
        <f t="shared" si="3"/>
        <v>489.70353759891293</v>
      </c>
      <c r="O20" s="11">
        <v>1.5576000000000001E-4</v>
      </c>
      <c r="P20" s="8"/>
      <c r="Q20" s="8">
        <v>-318.20209999999997</v>
      </c>
      <c r="R20" s="24">
        <f t="shared" si="9"/>
        <v>0.72745575474930924</v>
      </c>
      <c r="S20" s="24">
        <f t="shared" si="6"/>
        <v>0.73957421345131868</v>
      </c>
    </row>
    <row r="21" spans="1:19" ht="20" customHeight="1" x14ac:dyDescent="0.3">
      <c r="A21" t="s">
        <v>128</v>
      </c>
      <c r="B21" s="8">
        <v>5</v>
      </c>
      <c r="C21" s="8" t="s">
        <v>33</v>
      </c>
      <c r="D21" s="8" t="s">
        <v>7</v>
      </c>
      <c r="E21" s="8">
        <v>4303</v>
      </c>
      <c r="F21" s="8">
        <v>1189</v>
      </c>
      <c r="G21" s="12">
        <v>4.0032866150150812E-4</v>
      </c>
      <c r="H21" s="12">
        <v>1.2872304228344312E-5</v>
      </c>
      <c r="I21" s="8"/>
      <c r="J21" s="12">
        <f t="shared" si="8"/>
        <v>1</v>
      </c>
      <c r="K21" s="20">
        <f t="shared" si="0"/>
        <v>9.6788415283283061E-4</v>
      </c>
      <c r="L21" s="12">
        <f t="shared" si="7"/>
        <v>2.4696879612654194E-4</v>
      </c>
      <c r="M21" s="21">
        <f t="shared" si="2"/>
        <v>5213.945511253406</v>
      </c>
      <c r="N21" s="21">
        <f t="shared" si="3"/>
        <v>1585.5726510435409</v>
      </c>
      <c r="O21" s="11">
        <v>1.5576000000000001E-4</v>
      </c>
      <c r="P21" s="8"/>
      <c r="Q21" s="8"/>
      <c r="R21" s="24">
        <f t="shared" si="9"/>
        <v>1</v>
      </c>
      <c r="S21" s="24">
        <f t="shared" si="6"/>
        <v>1</v>
      </c>
    </row>
    <row r="22" spans="1:19" ht="20" customHeight="1" x14ac:dyDescent="0.3">
      <c r="A22" t="s">
        <v>128</v>
      </c>
      <c r="B22" s="8">
        <v>5</v>
      </c>
      <c r="C22" s="8" t="s">
        <v>33</v>
      </c>
      <c r="D22" s="8" t="s">
        <v>28</v>
      </c>
      <c r="E22" s="8">
        <v>1920</v>
      </c>
      <c r="F22" s="8">
        <v>204</v>
      </c>
      <c r="G22" s="12">
        <v>4.0032866150150812E-4</v>
      </c>
      <c r="H22" s="12">
        <v>1.2872304228344312E-5</v>
      </c>
      <c r="I22" s="8"/>
      <c r="J22" s="12">
        <f t="shared" si="8"/>
        <v>1</v>
      </c>
      <c r="K22" s="20">
        <f t="shared" si="0"/>
        <v>4.7298271283283062E-4</v>
      </c>
      <c r="L22" s="12">
        <f t="shared" si="7"/>
        <v>4.2583443428654359E-5</v>
      </c>
      <c r="M22" s="21">
        <f t="shared" si="2"/>
        <v>2036.6121779200732</v>
      </c>
      <c r="N22" s="21">
        <f t="shared" si="3"/>
        <v>273.39139335294271</v>
      </c>
      <c r="O22" s="11">
        <v>1.5576000000000001E-4</v>
      </c>
      <c r="P22" s="8"/>
      <c r="Q22" s="8"/>
      <c r="R22" s="24">
        <f t="shared" si="9"/>
        <v>1</v>
      </c>
      <c r="S22" s="24">
        <f t="shared" si="6"/>
        <v>1</v>
      </c>
    </row>
    <row r="23" spans="1:19" ht="20" customHeight="1" x14ac:dyDescent="0.3">
      <c r="A23" t="s">
        <v>128</v>
      </c>
      <c r="B23" s="8">
        <v>5</v>
      </c>
      <c r="C23" s="8" t="s">
        <v>33</v>
      </c>
      <c r="D23" s="8" t="s">
        <v>40</v>
      </c>
      <c r="E23" s="8">
        <v>2099</v>
      </c>
      <c r="F23" s="8">
        <v>263</v>
      </c>
      <c r="G23" s="12">
        <v>4.0032866150150812E-4</v>
      </c>
      <c r="H23" s="12">
        <v>1.2872304228344312E-5</v>
      </c>
      <c r="I23" s="8"/>
      <c r="J23" s="12">
        <f t="shared" si="8"/>
        <v>1</v>
      </c>
      <c r="K23" s="20">
        <f t="shared" si="0"/>
        <v>5.1015743283283068E-4</v>
      </c>
      <c r="L23" s="12">
        <f t="shared" si="7"/>
        <v>5.4788115611951888E-5</v>
      </c>
      <c r="M23" s="21">
        <f t="shared" si="2"/>
        <v>2275.2788445867404</v>
      </c>
      <c r="N23" s="21">
        <f t="shared" si="3"/>
        <v>351.74701856671732</v>
      </c>
      <c r="O23" s="11">
        <v>1.5576000000000001E-4</v>
      </c>
      <c r="P23" s="8"/>
      <c r="Q23" s="8"/>
      <c r="R23" s="24">
        <f t="shared" si="9"/>
        <v>1</v>
      </c>
      <c r="S23" s="24">
        <f t="shared" si="6"/>
        <v>1</v>
      </c>
    </row>
    <row r="24" spans="1:19" ht="20" customHeight="1" x14ac:dyDescent="0.3">
      <c r="A24" t="s">
        <v>128</v>
      </c>
      <c r="B24" s="8">
        <v>5</v>
      </c>
      <c r="C24" s="8" t="s">
        <v>33</v>
      </c>
      <c r="D24" s="23" t="s">
        <v>30</v>
      </c>
      <c r="E24" s="12">
        <v>2165</v>
      </c>
      <c r="F24" s="12">
        <v>307</v>
      </c>
      <c r="G24" s="19">
        <v>4.0032866150150812E-4</v>
      </c>
      <c r="H24" s="19">
        <v>1.2872304228344312E-5</v>
      </c>
      <c r="I24" s="12">
        <v>-149.7405</v>
      </c>
      <c r="J24" s="12">
        <f t="shared" si="8"/>
        <v>0.86093135912759222</v>
      </c>
      <c r="K24" s="20">
        <f t="shared" si="0"/>
        <v>5.4242203378525907E-4</v>
      </c>
      <c r="L24" s="12">
        <f t="shared" si="7"/>
        <v>6.3864685200791624E-5</v>
      </c>
      <c r="M24" s="21">
        <f t="shared" si="2"/>
        <v>2482.4218912767014</v>
      </c>
      <c r="N24" s="21">
        <f t="shared" si="3"/>
        <v>410.01980740107615</v>
      </c>
      <c r="O24" s="11">
        <v>1.5576000000000001E-4</v>
      </c>
      <c r="P24" s="8">
        <v>3</v>
      </c>
      <c r="Q24" s="8">
        <v>-346.4067</v>
      </c>
      <c r="R24" s="24">
        <f t="shared" si="9"/>
        <v>0.70722480028307644</v>
      </c>
      <c r="S24" s="24">
        <f t="shared" si="6"/>
        <v>0.65598928066823781</v>
      </c>
    </row>
    <row r="25" spans="1:19" ht="20" customHeight="1" x14ac:dyDescent="0.3">
      <c r="A25" t="s">
        <v>128</v>
      </c>
      <c r="B25" s="8">
        <v>5</v>
      </c>
      <c r="C25" s="8" t="s">
        <v>33</v>
      </c>
      <c r="D25" s="23" t="s">
        <v>43</v>
      </c>
      <c r="E25" s="12">
        <v>2086</v>
      </c>
      <c r="F25" s="12">
        <v>345</v>
      </c>
      <c r="G25" s="19">
        <v>4.0032866150150812E-4</v>
      </c>
      <c r="H25" s="19">
        <v>1.2872304228344312E-5</v>
      </c>
      <c r="I25" s="12">
        <v>-278.6789</v>
      </c>
      <c r="J25" s="12">
        <f t="shared" si="8"/>
        <v>0.75678286718374732</v>
      </c>
      <c r="K25" s="20">
        <f t="shared" si="0"/>
        <v>5.3991318924435233E-4</v>
      </c>
      <c r="L25" s="12">
        <f t="shared" si="7"/>
        <v>7.1723143800307739E-5</v>
      </c>
      <c r="M25" s="21">
        <f t="shared" si="2"/>
        <v>2466.3147742960468</v>
      </c>
      <c r="N25" s="21">
        <f t="shared" si="3"/>
        <v>460.47216101892485</v>
      </c>
      <c r="O25" s="11">
        <v>1.5576000000000001E-4</v>
      </c>
      <c r="P25" s="8">
        <v>4</v>
      </c>
      <c r="Q25" s="8">
        <v>-365.51690000000002</v>
      </c>
      <c r="R25" s="24">
        <f t="shared" si="9"/>
        <v>0.69383791335284084</v>
      </c>
      <c r="S25" s="24">
        <f t="shared" si="6"/>
        <v>0.67285626207587201</v>
      </c>
    </row>
    <row r="26" spans="1:19" ht="20" customHeight="1" x14ac:dyDescent="0.3">
      <c r="A26" t="s">
        <v>128</v>
      </c>
      <c r="B26" s="8">
        <v>5</v>
      </c>
      <c r="C26" s="8" t="s">
        <v>33</v>
      </c>
      <c r="D26" s="8" t="s">
        <v>16</v>
      </c>
      <c r="E26" s="8">
        <v>3813</v>
      </c>
      <c r="F26" s="8">
        <v>253</v>
      </c>
      <c r="G26" s="12">
        <v>4.0032866150150812E-4</v>
      </c>
      <c r="H26" s="12">
        <v>1.2872304228344312E-5</v>
      </c>
      <c r="I26" s="8"/>
      <c r="J26" s="12">
        <f t="shared" si="8"/>
        <v>1</v>
      </c>
      <c r="K26" s="20">
        <f t="shared" si="0"/>
        <v>8.6612095283283071E-4</v>
      </c>
      <c r="L26" s="12">
        <f t="shared" si="7"/>
        <v>5.2717945171683301E-5</v>
      </c>
      <c r="M26" s="21">
        <f t="shared" si="2"/>
        <v>4560.612177920073</v>
      </c>
      <c r="N26" s="21">
        <f t="shared" si="3"/>
        <v>338.45624789216293</v>
      </c>
      <c r="O26" s="11">
        <v>1.5576000000000001E-4</v>
      </c>
      <c r="P26" s="8"/>
      <c r="Q26" s="8"/>
      <c r="R26" s="24">
        <f t="shared" si="9"/>
        <v>1</v>
      </c>
      <c r="S26" s="24">
        <f t="shared" si="6"/>
        <v>1</v>
      </c>
    </row>
    <row r="27" spans="1:19" s="4" customFormat="1" ht="20" customHeight="1" x14ac:dyDescent="0.3">
      <c r="A27" s="4" t="s">
        <v>128</v>
      </c>
      <c r="B27" s="17">
        <v>6</v>
      </c>
      <c r="C27" s="17" t="s">
        <v>46</v>
      </c>
      <c r="D27" s="17" t="s">
        <v>4</v>
      </c>
      <c r="E27" s="17">
        <v>1070</v>
      </c>
      <c r="F27" s="17">
        <v>82</v>
      </c>
      <c r="G27" s="27">
        <v>4.4409449587787882E-4</v>
      </c>
      <c r="H27" s="27">
        <v>1.7592149112070558E-5</v>
      </c>
      <c r="I27" s="33"/>
      <c r="J27" s="27">
        <f t="shared" si="8"/>
        <v>1</v>
      </c>
      <c r="K27" s="29">
        <f t="shared" si="0"/>
        <v>2.8186610137404048E-4</v>
      </c>
      <c r="L27" s="27">
        <f t="shared" si="7"/>
        <v>1.8011102259130574E-5</v>
      </c>
      <c r="M27" s="29">
        <f t="shared" si="2"/>
        <v>809.61801087596609</v>
      </c>
      <c r="N27" s="29">
        <f t="shared" si="3"/>
        <v>115.6336816841973</v>
      </c>
      <c r="O27" s="29">
        <v>1.5576000000000001E-4</v>
      </c>
      <c r="P27" s="17"/>
      <c r="Q27" s="17"/>
      <c r="R27" s="32">
        <f t="shared" si="9"/>
        <v>1</v>
      </c>
      <c r="S27" s="32">
        <f t="shared" si="6"/>
        <v>1</v>
      </c>
    </row>
    <row r="28" spans="1:19" ht="20" customHeight="1" x14ac:dyDescent="0.3">
      <c r="A28" t="s">
        <v>128</v>
      </c>
      <c r="B28" s="8">
        <v>6</v>
      </c>
      <c r="C28" s="8" t="s">
        <v>46</v>
      </c>
      <c r="D28" s="22" t="s">
        <v>22</v>
      </c>
      <c r="E28" s="12">
        <v>1693</v>
      </c>
      <c r="F28" s="12">
        <v>90</v>
      </c>
      <c r="G28" s="19">
        <v>4.4409449587787882E-4</v>
      </c>
      <c r="H28" s="19">
        <v>1.7592149112070558E-5</v>
      </c>
      <c r="I28" s="20">
        <v>-312.74279999999999</v>
      </c>
      <c r="J28" s="12">
        <f t="shared" si="8"/>
        <v>0.73143801423523203</v>
      </c>
      <c r="K28" s="20">
        <f t="shared" si="0"/>
        <v>4.5100637460076268E-4</v>
      </c>
      <c r="L28" s="12">
        <f t="shared" si="7"/>
        <v>1.9177020065957762E-5</v>
      </c>
      <c r="M28" s="21">
        <f t="shared" si="2"/>
        <v>1895.5211517768532</v>
      </c>
      <c r="N28" s="21">
        <f t="shared" si="3"/>
        <v>123.11902969926658</v>
      </c>
      <c r="O28" s="11">
        <v>1.5576000000000001E-4</v>
      </c>
      <c r="P28" s="8">
        <v>1</v>
      </c>
      <c r="Q28" s="8">
        <v>-375.09109999999998</v>
      </c>
      <c r="R28" s="24">
        <f t="shared" si="9"/>
        <v>0.6872266695895668</v>
      </c>
      <c r="S28" s="24">
        <f t="shared" si="6"/>
        <v>0.67248955470767846</v>
      </c>
    </row>
    <row r="29" spans="1:19" ht="20" customHeight="1" x14ac:dyDescent="0.3">
      <c r="A29" t="s">
        <v>128</v>
      </c>
      <c r="B29" s="8">
        <v>6</v>
      </c>
      <c r="C29" s="8" t="s">
        <v>46</v>
      </c>
      <c r="D29" s="22" t="s">
        <v>24</v>
      </c>
      <c r="E29" s="12">
        <v>1564</v>
      </c>
      <c r="F29" s="12">
        <v>80</v>
      </c>
      <c r="G29" s="19">
        <v>4.4409449587787882E-4</v>
      </c>
      <c r="H29" s="19">
        <v>1.7592149112070558E-5</v>
      </c>
      <c r="I29" s="19">
        <v>-312.67140000000001</v>
      </c>
      <c r="J29" s="12">
        <f t="shared" si="8"/>
        <v>0.73149024077391367</v>
      </c>
      <c r="K29" s="20">
        <f t="shared" si="0"/>
        <v>4.2420792342797359E-4</v>
      </c>
      <c r="L29" s="12">
        <f t="shared" si="7"/>
        <v>1.7159197412160349E-5</v>
      </c>
      <c r="M29" s="21">
        <f t="shared" si="2"/>
        <v>1723.4715166151359</v>
      </c>
      <c r="N29" s="21">
        <f t="shared" si="3"/>
        <v>110.16433880431656</v>
      </c>
      <c r="O29" s="11">
        <v>1.5576000000000001E-4</v>
      </c>
      <c r="P29" s="8">
        <v>2</v>
      </c>
      <c r="Q29" s="25">
        <v>-375.08920000000001</v>
      </c>
      <c r="R29" s="24">
        <f t="shared" si="9"/>
        <v>0.68722797532147939</v>
      </c>
      <c r="S29" s="24">
        <f t="shared" si="6"/>
        <v>0.67247388683733467</v>
      </c>
    </row>
    <row r="30" spans="1:19" ht="20" customHeight="1" x14ac:dyDescent="0.3">
      <c r="A30" t="s">
        <v>128</v>
      </c>
      <c r="B30" s="8">
        <v>6</v>
      </c>
      <c r="C30" s="8" t="s">
        <v>46</v>
      </c>
      <c r="D30" s="8" t="s">
        <v>13</v>
      </c>
      <c r="E30" s="8">
        <v>3462</v>
      </c>
      <c r="F30" s="8">
        <v>70</v>
      </c>
      <c r="G30" s="12">
        <v>4.4409449587787882E-4</v>
      </c>
      <c r="H30" s="12">
        <v>1.7592149112070558E-5</v>
      </c>
      <c r="I30" s="8">
        <v>-369.47019999999998</v>
      </c>
      <c r="J30" s="12">
        <f t="shared" si="8"/>
        <v>0.691100378643281</v>
      </c>
      <c r="K30" s="20">
        <f t="shared" si="0"/>
        <v>8.2436353524846702E-4</v>
      </c>
      <c r="L30" s="12">
        <f t="shared" si="7"/>
        <v>1.5091910456605796E-5</v>
      </c>
      <c r="M30" s="21">
        <f t="shared" si="2"/>
        <v>4292.5239807939579</v>
      </c>
      <c r="N30" s="21">
        <f t="shared" si="3"/>
        <v>96.892080486683327</v>
      </c>
      <c r="O30" s="11">
        <v>1.5576000000000001E-4</v>
      </c>
      <c r="P30" s="8"/>
      <c r="Q30" s="8">
        <v>-318.20209999999997</v>
      </c>
      <c r="R30" s="24">
        <f t="shared" si="9"/>
        <v>0.72745575474930924</v>
      </c>
      <c r="S30" s="24">
        <f t="shared" si="6"/>
        <v>0.73957421345131868</v>
      </c>
    </row>
    <row r="31" spans="1:19" ht="20" customHeight="1" x14ac:dyDescent="0.3">
      <c r="A31" t="s">
        <v>128</v>
      </c>
      <c r="B31" s="8">
        <v>6</v>
      </c>
      <c r="C31" s="8" t="s">
        <v>46</v>
      </c>
      <c r="D31" s="8" t="s">
        <v>7</v>
      </c>
      <c r="E31" s="8">
        <v>7065</v>
      </c>
      <c r="F31" s="8">
        <v>390</v>
      </c>
      <c r="G31" s="12">
        <v>4.4409449587787882E-4</v>
      </c>
      <c r="H31" s="12">
        <v>1.7592149112070558E-5</v>
      </c>
      <c r="I31" s="8"/>
      <c r="J31" s="12">
        <f t="shared" si="8"/>
        <v>1</v>
      </c>
      <c r="K31" s="20">
        <f t="shared" si="0"/>
        <v>1.5269077013740408E-3</v>
      </c>
      <c r="L31" s="12">
        <f t="shared" si="7"/>
        <v>8.1207201047513392E-5</v>
      </c>
      <c r="M31" s="21">
        <f t="shared" si="2"/>
        <v>8802.9513442092994</v>
      </c>
      <c r="N31" s="21">
        <f t="shared" si="3"/>
        <v>521.36107503539665</v>
      </c>
      <c r="O31" s="11">
        <v>1.5576000000000001E-4</v>
      </c>
      <c r="P31" s="8"/>
      <c r="Q31" s="8"/>
      <c r="R31" s="24">
        <f t="shared" si="9"/>
        <v>1</v>
      </c>
      <c r="S31" s="24">
        <f t="shared" si="6"/>
        <v>1</v>
      </c>
    </row>
    <row r="32" spans="1:19" ht="20" customHeight="1" x14ac:dyDescent="0.3">
      <c r="A32" t="s">
        <v>128</v>
      </c>
      <c r="B32" s="8">
        <v>6</v>
      </c>
      <c r="C32" s="8" t="s">
        <v>46</v>
      </c>
      <c r="D32" s="8" t="s">
        <v>28</v>
      </c>
      <c r="E32" s="8">
        <v>2769</v>
      </c>
      <c r="F32" s="8">
        <v>557</v>
      </c>
      <c r="G32" s="12">
        <v>4.4409449587787882E-4</v>
      </c>
      <c r="H32" s="12">
        <v>1.7592149112070558E-5</v>
      </c>
      <c r="I32" s="8"/>
      <c r="J32" s="12">
        <f t="shared" si="8"/>
        <v>1</v>
      </c>
      <c r="K32" s="20">
        <f t="shared" si="0"/>
        <v>6.3471442137404057E-4</v>
      </c>
      <c r="L32" s="12">
        <f t="shared" si="7"/>
        <v>1.1582629769421476E-4</v>
      </c>
      <c r="M32" s="21">
        <f t="shared" si="2"/>
        <v>3074.9513442092998</v>
      </c>
      <c r="N32" s="21">
        <f t="shared" si="3"/>
        <v>743.62029849906753</v>
      </c>
      <c r="O32" s="11">
        <v>1.5576000000000001E-4</v>
      </c>
      <c r="P32" s="8"/>
      <c r="Q32" s="8"/>
      <c r="R32" s="24">
        <f t="shared" si="9"/>
        <v>1</v>
      </c>
      <c r="S32" s="24">
        <f t="shared" si="6"/>
        <v>1</v>
      </c>
    </row>
    <row r="33" spans="1:19" ht="20" customHeight="1" x14ac:dyDescent="0.3">
      <c r="A33" t="s">
        <v>128</v>
      </c>
      <c r="B33" s="8">
        <v>6</v>
      </c>
      <c r="C33" s="8" t="s">
        <v>46</v>
      </c>
      <c r="D33" s="8" t="s">
        <v>40</v>
      </c>
      <c r="E33" s="8">
        <v>3409</v>
      </c>
      <c r="F33" s="8">
        <v>232</v>
      </c>
      <c r="G33" s="12">
        <v>4.4409449587787882E-4</v>
      </c>
      <c r="H33" s="12">
        <v>1.7592149112070558E-5</v>
      </c>
      <c r="I33" s="8"/>
      <c r="J33" s="12">
        <f t="shared" si="8"/>
        <v>1</v>
      </c>
      <c r="K33" s="20">
        <f t="shared" si="0"/>
        <v>7.6762962137404047E-4</v>
      </c>
      <c r="L33" s="12">
        <f t="shared" si="7"/>
        <v>4.8537295718126479E-5</v>
      </c>
      <c r="M33" s="21">
        <f t="shared" si="2"/>
        <v>3928.2846775426324</v>
      </c>
      <c r="N33" s="21">
        <f t="shared" si="3"/>
        <v>311.6159201215105</v>
      </c>
      <c r="O33" s="11">
        <v>1.5576000000000001E-4</v>
      </c>
      <c r="P33" s="8"/>
      <c r="Q33" s="8"/>
      <c r="R33" s="24">
        <f t="shared" si="9"/>
        <v>1</v>
      </c>
      <c r="S33" s="24">
        <f t="shared" si="6"/>
        <v>1</v>
      </c>
    </row>
    <row r="34" spans="1:19" ht="20" customHeight="1" x14ac:dyDescent="0.3">
      <c r="A34" t="s">
        <v>128</v>
      </c>
      <c r="B34" s="8">
        <v>6</v>
      </c>
      <c r="C34" s="8" t="s">
        <v>46</v>
      </c>
      <c r="D34" s="22" t="s">
        <v>30</v>
      </c>
      <c r="E34" s="12">
        <v>2018</v>
      </c>
      <c r="F34" s="12">
        <v>105</v>
      </c>
      <c r="G34" s="19">
        <v>4.4409449587787882E-4</v>
      </c>
      <c r="H34" s="19">
        <v>1.7592149112070558E-5</v>
      </c>
      <c r="I34" s="12">
        <v>-149.7405</v>
      </c>
      <c r="J34" s="12">
        <f t="shared" si="8"/>
        <v>0.86093135912759222</v>
      </c>
      <c r="K34" s="20">
        <f t="shared" si="0"/>
        <v>4.9933328069425833E-4</v>
      </c>
      <c r="L34" s="12">
        <f t="shared" si="7"/>
        <v>2.2383182980176227E-5</v>
      </c>
      <c r="M34" s="21">
        <f t="shared" si="2"/>
        <v>2205.7863424130605</v>
      </c>
      <c r="N34" s="21">
        <f t="shared" si="3"/>
        <v>143.70302375562548</v>
      </c>
      <c r="O34" s="11">
        <v>1.5576000000000001E-4</v>
      </c>
      <c r="P34" s="8">
        <v>3</v>
      </c>
      <c r="Q34" s="8">
        <v>-346.4067</v>
      </c>
      <c r="R34" s="24">
        <f t="shared" si="9"/>
        <v>0.70722480028307644</v>
      </c>
      <c r="S34" s="24">
        <f t="shared" si="6"/>
        <v>0.65598928066823781</v>
      </c>
    </row>
    <row r="35" spans="1:19" ht="20" customHeight="1" x14ac:dyDescent="0.3">
      <c r="A35" t="s">
        <v>128</v>
      </c>
      <c r="B35" s="8">
        <v>6</v>
      </c>
      <c r="C35" s="8" t="s">
        <v>46</v>
      </c>
      <c r="D35" s="22" t="s">
        <v>43</v>
      </c>
      <c r="E35" s="12">
        <v>3307</v>
      </c>
      <c r="F35" s="12">
        <v>283</v>
      </c>
      <c r="G35" s="19">
        <v>4.4409449587787882E-4</v>
      </c>
      <c r="H35" s="19">
        <v>1.7592149112070558E-5</v>
      </c>
      <c r="I35" s="12">
        <v>-278.6789</v>
      </c>
      <c r="J35" s="12">
        <f t="shared" si="8"/>
        <v>0.75678286718374732</v>
      </c>
      <c r="K35" s="20">
        <f t="shared" si="0"/>
        <v>7.8245005803633959E-4</v>
      </c>
      <c r="L35" s="12">
        <f t="shared" si="7"/>
        <v>5.894074505698492E-5</v>
      </c>
      <c r="M35" s="21">
        <f t="shared" si="2"/>
        <v>4023.4338600175884</v>
      </c>
      <c r="N35" s="21">
        <f t="shared" si="3"/>
        <v>378.40745414088929</v>
      </c>
      <c r="O35" s="11">
        <v>1.5576000000000001E-4</v>
      </c>
      <c r="P35" s="8">
        <v>4</v>
      </c>
      <c r="Q35" s="8">
        <v>-365.51690000000002</v>
      </c>
      <c r="R35" s="24">
        <f t="shared" si="9"/>
        <v>0.69383791335284084</v>
      </c>
      <c r="S35" s="24">
        <f t="shared" si="6"/>
        <v>0.67285626207587201</v>
      </c>
    </row>
    <row r="36" spans="1:19" ht="20" customHeight="1" x14ac:dyDescent="0.3">
      <c r="A36" t="s">
        <v>128</v>
      </c>
      <c r="B36" s="8">
        <v>6</v>
      </c>
      <c r="C36" s="8" t="s">
        <v>46</v>
      </c>
      <c r="D36" s="8" t="s">
        <v>16</v>
      </c>
      <c r="E36" s="8">
        <v>6017</v>
      </c>
      <c r="F36" s="8">
        <v>395</v>
      </c>
      <c r="G36" s="12">
        <v>4.4409449587787882E-4</v>
      </c>
      <c r="H36" s="12">
        <v>1.7592149112070558E-5</v>
      </c>
      <c r="I36" s="8"/>
      <c r="J36" s="12">
        <f t="shared" si="8"/>
        <v>1</v>
      </c>
      <c r="K36" s="20">
        <f t="shared" si="0"/>
        <v>1.3092590613740405E-3</v>
      </c>
      <c r="L36" s="12">
        <f t="shared" si="7"/>
        <v>8.2242924363687715E-5</v>
      </c>
      <c r="M36" s="21">
        <f t="shared" si="2"/>
        <v>7405.6180108759654</v>
      </c>
      <c r="N36" s="21">
        <f t="shared" si="3"/>
        <v>528.01055703446139</v>
      </c>
      <c r="O36" s="11">
        <v>1.5576000000000001E-4</v>
      </c>
      <c r="P36" s="8"/>
      <c r="Q36" s="8"/>
      <c r="R36" s="24">
        <f t="shared" si="9"/>
        <v>1</v>
      </c>
      <c r="S36" s="24">
        <f t="shared" si="6"/>
        <v>1</v>
      </c>
    </row>
    <row r="37" spans="1:19" s="4" customFormat="1" ht="20" customHeight="1" x14ac:dyDescent="0.3">
      <c r="A37" s="4" t="s">
        <v>132</v>
      </c>
      <c r="B37" s="17">
        <v>7</v>
      </c>
      <c r="C37" s="17" t="s">
        <v>57</v>
      </c>
      <c r="D37" s="17" t="s">
        <v>4</v>
      </c>
      <c r="E37" s="17">
        <v>1241</v>
      </c>
      <c r="F37" s="17">
        <v>216</v>
      </c>
      <c r="G37" s="27">
        <v>4.8078056292866005E-4</v>
      </c>
      <c r="H37" s="27">
        <v>4.634029522203953E-5</v>
      </c>
      <c r="I37" s="31"/>
      <c r="J37" s="27">
        <f t="shared" si="8"/>
        <v>1</v>
      </c>
      <c r="K37" s="29">
        <f t="shared" si="0"/>
        <v>3.0515069235711334E-4</v>
      </c>
      <c r="L37" s="27">
        <f t="shared" si="7"/>
        <v>4.7443879121612238E-5</v>
      </c>
      <c r="M37" s="29">
        <f t="shared" si="2"/>
        <v>959.10819438311057</v>
      </c>
      <c r="N37" s="29">
        <f t="shared" si="3"/>
        <v>304.59603955837332</v>
      </c>
      <c r="O37" s="29">
        <v>1.5576000000000001E-4</v>
      </c>
      <c r="P37" s="17"/>
      <c r="Q37" s="17"/>
      <c r="R37" s="32">
        <f t="shared" si="9"/>
        <v>1</v>
      </c>
      <c r="S37" s="32">
        <f t="shared" si="6"/>
        <v>1</v>
      </c>
    </row>
    <row r="38" spans="1:19" ht="20" customHeight="1" x14ac:dyDescent="0.3">
      <c r="A38" t="s">
        <v>132</v>
      </c>
      <c r="B38" s="8">
        <v>7</v>
      </c>
      <c r="C38" s="8" t="s">
        <v>57</v>
      </c>
      <c r="D38" s="12" t="s">
        <v>22</v>
      </c>
      <c r="E38" s="12">
        <v>2204</v>
      </c>
      <c r="F38" s="12">
        <v>53</v>
      </c>
      <c r="G38" s="19">
        <v>4.8078056292866005E-4</v>
      </c>
      <c r="H38" s="19">
        <v>4.634029522203953E-5</v>
      </c>
      <c r="I38" s="20">
        <v>-312.74279999999999</v>
      </c>
      <c r="J38" s="12">
        <f t="shared" si="8"/>
        <v>0.73143801423523203</v>
      </c>
      <c r="K38" s="20">
        <f t="shared" si="0"/>
        <v>5.4818632658952136E-4</v>
      </c>
      <c r="L38" s="12">
        <f t="shared" si="7"/>
        <v>1.5773638412540256E-5</v>
      </c>
      <c r="M38" s="21">
        <f t="shared" si="2"/>
        <v>2519.4294208366805</v>
      </c>
      <c r="N38" s="21">
        <f t="shared" si="3"/>
        <v>101.26886500090045</v>
      </c>
      <c r="O38" s="11">
        <v>1.5576000000000001E-4</v>
      </c>
      <c r="P38" s="8">
        <v>1</v>
      </c>
      <c r="Q38" s="8">
        <v>-375.09109999999998</v>
      </c>
      <c r="R38" s="24">
        <f t="shared" si="9"/>
        <v>0.6872266695895668</v>
      </c>
      <c r="S38" s="24">
        <f t="shared" si="6"/>
        <v>0.67248955470767846</v>
      </c>
    </row>
    <row r="39" spans="1:19" ht="20" customHeight="1" x14ac:dyDescent="0.3">
      <c r="A39" t="s">
        <v>131</v>
      </c>
      <c r="B39" s="8">
        <v>7</v>
      </c>
      <c r="C39" s="8" t="s">
        <v>57</v>
      </c>
      <c r="D39" s="12" t="s">
        <v>24</v>
      </c>
      <c r="E39" s="12">
        <v>2311</v>
      </c>
      <c r="F39" s="12">
        <v>493</v>
      </c>
      <c r="G39" s="19">
        <v>4.8078056292866005E-4</v>
      </c>
      <c r="H39" s="19">
        <v>4.634029522203953E-5</v>
      </c>
      <c r="I39" s="19">
        <v>-312.67140000000001</v>
      </c>
      <c r="J39" s="12">
        <f t="shared" si="8"/>
        <v>0.73149024077391367</v>
      </c>
      <c r="K39" s="20">
        <f t="shared" si="0"/>
        <v>5.7039971675463218E-4</v>
      </c>
      <c r="L39" s="12">
        <f t="shared" si="7"/>
        <v>1.030078303366221E-4</v>
      </c>
      <c r="M39" s="21">
        <f t="shared" si="2"/>
        <v>2662.0423520456607</v>
      </c>
      <c r="N39" s="21">
        <f t="shared" si="3"/>
        <v>661.32402630086085</v>
      </c>
      <c r="O39" s="11">
        <v>1.5576000000000001E-4</v>
      </c>
      <c r="P39" s="8">
        <v>2</v>
      </c>
      <c r="Q39" s="25">
        <v>-375.08920000000001</v>
      </c>
      <c r="R39" s="24">
        <f t="shared" si="9"/>
        <v>0.68722797532147939</v>
      </c>
      <c r="S39" s="24">
        <f t="shared" si="6"/>
        <v>0.67247388683733467</v>
      </c>
    </row>
    <row r="40" spans="1:19" ht="20" customHeight="1" x14ac:dyDescent="0.3">
      <c r="A40" t="s">
        <v>131</v>
      </c>
      <c r="B40" s="8">
        <v>7</v>
      </c>
      <c r="C40" s="8" t="s">
        <v>57</v>
      </c>
      <c r="D40" s="8" t="s">
        <v>13</v>
      </c>
      <c r="E40" s="8">
        <v>2253</v>
      </c>
      <c r="F40" s="8">
        <v>112</v>
      </c>
      <c r="G40" s="12">
        <v>4.8078056292866005E-4</v>
      </c>
      <c r="H40" s="12">
        <v>4.634029522203953E-5</v>
      </c>
      <c r="I40" s="8">
        <v>-369.47019999999998</v>
      </c>
      <c r="J40" s="12">
        <f t="shared" si="8"/>
        <v>0.691100378643281</v>
      </c>
      <c r="K40" s="20">
        <f t="shared" si="0"/>
        <v>5.6482716363855784E-4</v>
      </c>
      <c r="L40" s="12">
        <f t="shared" si="7"/>
        <v>2.5592896087267842E-5</v>
      </c>
      <c r="M40" s="21">
        <f t="shared" si="2"/>
        <v>2626.2658168885323</v>
      </c>
      <c r="N40" s="21">
        <f t="shared" si="3"/>
        <v>164.30981052431844</v>
      </c>
      <c r="O40" s="11">
        <v>1.5576000000000001E-4</v>
      </c>
      <c r="P40" s="8"/>
      <c r="Q40" s="8">
        <v>-318.20209999999997</v>
      </c>
      <c r="R40" s="24">
        <f t="shared" si="9"/>
        <v>0.72745575474930924</v>
      </c>
      <c r="S40" s="24">
        <f t="shared" si="6"/>
        <v>0.73957421345131868</v>
      </c>
    </row>
    <row r="41" spans="1:19" ht="20" customHeight="1" x14ac:dyDescent="0.3">
      <c r="A41" t="s">
        <v>131</v>
      </c>
      <c r="B41" s="8">
        <v>7</v>
      </c>
      <c r="C41" s="8" t="s">
        <v>57</v>
      </c>
      <c r="D41" s="8" t="s">
        <v>7</v>
      </c>
      <c r="E41" s="8">
        <v>2791</v>
      </c>
      <c r="F41" s="8">
        <v>770</v>
      </c>
      <c r="G41" s="12">
        <v>4.8078056292866005E-4</v>
      </c>
      <c r="H41" s="12">
        <v>4.634029522203953E-5</v>
      </c>
      <c r="I41" s="8"/>
      <c r="J41" s="12">
        <f t="shared" si="8"/>
        <v>1</v>
      </c>
      <c r="K41" s="20">
        <f t="shared" si="0"/>
        <v>6.2705469235711331E-4</v>
      </c>
      <c r="L41" s="12">
        <f t="shared" si="7"/>
        <v>1.6065790368423134E-4</v>
      </c>
      <c r="M41" s="21">
        <f t="shared" si="2"/>
        <v>3025.7748610497765</v>
      </c>
      <c r="N41" s="21">
        <f t="shared" si="3"/>
        <v>1031.445195712836</v>
      </c>
      <c r="O41" s="11">
        <v>1.5576000000000001E-4</v>
      </c>
      <c r="P41" s="8"/>
      <c r="Q41" s="8"/>
      <c r="R41" s="24">
        <f t="shared" si="9"/>
        <v>1</v>
      </c>
      <c r="S41" s="24">
        <f t="shared" si="6"/>
        <v>1</v>
      </c>
    </row>
    <row r="42" spans="1:19" ht="20" customHeight="1" x14ac:dyDescent="0.3">
      <c r="A42" t="s">
        <v>131</v>
      </c>
      <c r="B42" s="8">
        <v>7</v>
      </c>
      <c r="C42" s="8" t="s">
        <v>57</v>
      </c>
      <c r="D42" s="8" t="s">
        <v>40</v>
      </c>
      <c r="E42" s="8">
        <v>1945</v>
      </c>
      <c r="F42" s="8">
        <v>59</v>
      </c>
      <c r="G42" s="12">
        <v>4.8078056292866005E-4</v>
      </c>
      <c r="H42" s="12">
        <v>4.634029522203953E-5</v>
      </c>
      <c r="I42" s="8"/>
      <c r="J42" s="12">
        <f t="shared" si="8"/>
        <v>1</v>
      </c>
      <c r="K42" s="20">
        <f t="shared" si="0"/>
        <v>4.5135741235711346E-4</v>
      </c>
      <c r="L42" s="12">
        <f t="shared" si="7"/>
        <v>1.97165286241304E-5</v>
      </c>
      <c r="M42" s="21">
        <f t="shared" si="2"/>
        <v>1897.7748610497779</v>
      </c>
      <c r="N42" s="21">
        <f t="shared" si="3"/>
        <v>126.58274668804827</v>
      </c>
      <c r="O42" s="11">
        <v>1.5576000000000001E-4</v>
      </c>
      <c r="P42" s="8"/>
      <c r="Q42" s="8"/>
      <c r="R42" s="24">
        <f t="shared" si="9"/>
        <v>1</v>
      </c>
      <c r="S42" s="24">
        <f t="shared" si="6"/>
        <v>1</v>
      </c>
    </row>
    <row r="43" spans="1:19" ht="20" customHeight="1" x14ac:dyDescent="0.3">
      <c r="A43" t="s">
        <v>131</v>
      </c>
      <c r="B43" s="8">
        <v>7</v>
      </c>
      <c r="C43" s="8" t="s">
        <v>57</v>
      </c>
      <c r="D43" s="12" t="s">
        <v>30</v>
      </c>
      <c r="E43" s="12">
        <v>736</v>
      </c>
      <c r="F43" s="12">
        <v>39</v>
      </c>
      <c r="G43" s="19">
        <v>4.8078056292866005E-4</v>
      </c>
      <c r="H43" s="19">
        <v>4.634029522203953E-5</v>
      </c>
      <c r="I43" s="12">
        <v>-149.7405</v>
      </c>
      <c r="J43" s="12">
        <f t="shared" si="8"/>
        <v>0.86093135912759222</v>
      </c>
      <c r="K43" s="20">
        <f t="shared" si="0"/>
        <v>2.2255945883856664E-4</v>
      </c>
      <c r="L43" s="12">
        <f t="shared" si="7"/>
        <v>1.5570969928980118E-5</v>
      </c>
      <c r="M43" s="21">
        <f t="shared" si="2"/>
        <v>428.86144606167574</v>
      </c>
      <c r="N43" s="21">
        <f t="shared" ref="N43:N63" si="10">(1000*L43/O43)</f>
        <v>99.967706272342809</v>
      </c>
      <c r="O43" s="11">
        <v>1.5576000000000001E-4</v>
      </c>
      <c r="P43" s="8">
        <v>3</v>
      </c>
      <c r="Q43" s="8">
        <v>-346.4067</v>
      </c>
      <c r="R43" s="24">
        <f t="shared" si="9"/>
        <v>0.70722480028307644</v>
      </c>
      <c r="S43" s="24">
        <f t="shared" si="6"/>
        <v>0.65598928066823781</v>
      </c>
    </row>
    <row r="44" spans="1:19" ht="20" customHeight="1" x14ac:dyDescent="0.3">
      <c r="A44" t="s">
        <v>131</v>
      </c>
      <c r="B44" s="8">
        <v>7</v>
      </c>
      <c r="C44" s="8" t="s">
        <v>57</v>
      </c>
      <c r="D44" s="12" t="s">
        <v>43</v>
      </c>
      <c r="E44" s="12">
        <v>1822</v>
      </c>
      <c r="F44" s="12">
        <v>95</v>
      </c>
      <c r="G44" s="19">
        <v>4.8078056292866005E-4</v>
      </c>
      <c r="H44" s="19">
        <v>4.634029522203953E-5</v>
      </c>
      <c r="I44" s="12">
        <v>-278.6789</v>
      </c>
      <c r="J44" s="12">
        <f t="shared" si="8"/>
        <v>0.75678286718374732</v>
      </c>
      <c r="K44" s="20">
        <f t="shared" si="0"/>
        <v>4.6479079570021093E-4</v>
      </c>
      <c r="L44" s="12">
        <f t="shared" si="7"/>
        <v>2.29327199175651E-5</v>
      </c>
      <c r="M44" s="21">
        <f t="shared" si="2"/>
        <v>1984.0189759900543</v>
      </c>
      <c r="N44" s="21">
        <f t="shared" si="10"/>
        <v>147.23112427815292</v>
      </c>
      <c r="O44" s="11">
        <v>1.5576000000000001E-4</v>
      </c>
      <c r="P44" s="8">
        <v>4</v>
      </c>
      <c r="Q44" s="8">
        <v>-365.51690000000002</v>
      </c>
      <c r="R44" s="24">
        <f t="shared" si="9"/>
        <v>0.69383791335284084</v>
      </c>
      <c r="S44" s="24">
        <f t="shared" si="6"/>
        <v>0.67285626207587201</v>
      </c>
    </row>
    <row r="45" spans="1:19" ht="20" customHeight="1" x14ac:dyDescent="0.3">
      <c r="A45" t="s">
        <v>131</v>
      </c>
      <c r="B45" s="8">
        <v>7</v>
      </c>
      <c r="C45" s="8" t="s">
        <v>57</v>
      </c>
      <c r="D45" s="8" t="s">
        <v>16</v>
      </c>
      <c r="E45" s="8">
        <v>4956</v>
      </c>
      <c r="F45" s="8">
        <v>57</v>
      </c>
      <c r="G45" s="12">
        <v>4.8078056292866005E-4</v>
      </c>
      <c r="H45" s="12">
        <v>4.634029522203953E-5</v>
      </c>
      <c r="I45" s="8"/>
      <c r="J45" s="12">
        <f t="shared" si="8"/>
        <v>1</v>
      </c>
      <c r="K45" s="20">
        <f t="shared" si="0"/>
        <v>1.0766818923571137E-3</v>
      </c>
      <c r="L45" s="12">
        <f t="shared" si="7"/>
        <v>1.946111798097307E-5</v>
      </c>
      <c r="M45" s="21">
        <f t="shared" si="2"/>
        <v>5912.4415277164462</v>
      </c>
      <c r="N45" s="21">
        <f t="shared" si="10"/>
        <v>124.94297625175314</v>
      </c>
      <c r="O45" s="11">
        <v>1.5576000000000001E-4</v>
      </c>
      <c r="P45" s="8"/>
      <c r="Q45" s="8"/>
      <c r="R45" s="24">
        <f t="shared" si="9"/>
        <v>1</v>
      </c>
      <c r="S45" s="24">
        <f t="shared" si="6"/>
        <v>1</v>
      </c>
    </row>
    <row r="46" spans="1:19" s="4" customFormat="1" ht="20" customHeight="1" x14ac:dyDescent="0.3">
      <c r="A46" s="4" t="s">
        <v>130</v>
      </c>
      <c r="B46" s="17">
        <v>8</v>
      </c>
      <c r="C46" s="17" t="s">
        <v>133</v>
      </c>
      <c r="D46" s="17" t="s">
        <v>4</v>
      </c>
      <c r="E46" s="17">
        <v>868</v>
      </c>
      <c r="F46" s="17">
        <v>0</v>
      </c>
      <c r="G46" s="27">
        <v>4.0075773830911953E-4</v>
      </c>
      <c r="H46" s="27">
        <v>0</v>
      </c>
      <c r="I46" s="31"/>
      <c r="J46" s="27">
        <f t="shared" si="8"/>
        <v>1</v>
      </c>
      <c r="K46" s="29">
        <f t="shared" si="0"/>
        <v>2.543603272302935E-4</v>
      </c>
      <c r="L46" s="27">
        <f t="shared" si="7"/>
        <v>0</v>
      </c>
      <c r="M46" s="29">
        <f t="shared" si="2"/>
        <v>633.02726778565409</v>
      </c>
      <c r="N46" s="29">
        <f t="shared" si="10"/>
        <v>0</v>
      </c>
      <c r="O46" s="29">
        <v>1.5576000000000001E-4</v>
      </c>
      <c r="P46" s="17"/>
      <c r="Q46" s="17"/>
      <c r="R46" s="32">
        <f t="shared" si="9"/>
        <v>1</v>
      </c>
      <c r="S46" s="32">
        <f t="shared" si="6"/>
        <v>1</v>
      </c>
    </row>
    <row r="47" spans="1:19" ht="20" customHeight="1" x14ac:dyDescent="0.3">
      <c r="A47" t="s">
        <v>130</v>
      </c>
      <c r="B47" s="8">
        <v>8</v>
      </c>
      <c r="C47" s="8" t="s">
        <v>71</v>
      </c>
      <c r="D47" s="12" t="s">
        <v>22</v>
      </c>
      <c r="E47" s="12">
        <v>1182</v>
      </c>
      <c r="F47" s="12">
        <v>0</v>
      </c>
      <c r="G47" s="19">
        <v>4.0075773830911953E-4</v>
      </c>
      <c r="H47" s="19">
        <v>0</v>
      </c>
      <c r="I47" s="20">
        <v>-312.74279999999999</v>
      </c>
      <c r="J47" s="12">
        <f t="shared" si="8"/>
        <v>0.73143801423523203</v>
      </c>
      <c r="K47" s="20">
        <f t="shared" si="0"/>
        <v>3.5544794523392499E-4</v>
      </c>
      <c r="L47" s="12">
        <f t="shared" si="7"/>
        <v>0</v>
      </c>
      <c r="M47" s="21">
        <f t="shared" si="2"/>
        <v>1282.0232744859075</v>
      </c>
      <c r="N47" s="21">
        <f t="shared" si="10"/>
        <v>0</v>
      </c>
      <c r="O47" s="11">
        <v>1.5576000000000001E-4</v>
      </c>
      <c r="P47" s="8">
        <v>1</v>
      </c>
      <c r="Q47" s="8">
        <v>-375.09109999999998</v>
      </c>
      <c r="R47" s="24">
        <f t="shared" si="9"/>
        <v>0.6872266695895668</v>
      </c>
      <c r="S47" s="24">
        <f t="shared" si="6"/>
        <v>0.67248955470767846</v>
      </c>
    </row>
    <row r="48" spans="1:19" ht="20" customHeight="1" x14ac:dyDescent="0.3">
      <c r="A48" t="s">
        <v>128</v>
      </c>
      <c r="B48" s="8">
        <v>8</v>
      </c>
      <c r="C48" s="8" t="s">
        <v>71</v>
      </c>
      <c r="D48" s="12" t="s">
        <v>24</v>
      </c>
      <c r="E48" s="12">
        <v>1159</v>
      </c>
      <c r="F48" s="12">
        <v>0</v>
      </c>
      <c r="G48" s="19">
        <v>4.0075773830911953E-4</v>
      </c>
      <c r="H48" s="19">
        <v>0</v>
      </c>
      <c r="I48" s="19">
        <v>-312.67140000000001</v>
      </c>
      <c r="J48" s="12">
        <f t="shared" si="8"/>
        <v>0.73149024077391367</v>
      </c>
      <c r="K48" s="20">
        <f t="shared" si="0"/>
        <v>3.5066432850408433E-4</v>
      </c>
      <c r="L48" s="12">
        <f t="shared" si="7"/>
        <v>0</v>
      </c>
      <c r="M48" s="21">
        <f t="shared" si="2"/>
        <v>1251.3118162820001</v>
      </c>
      <c r="N48" s="21">
        <f t="shared" si="10"/>
        <v>0</v>
      </c>
      <c r="O48" s="11">
        <v>1.5576000000000001E-4</v>
      </c>
      <c r="P48" s="8">
        <v>2</v>
      </c>
      <c r="Q48" s="25">
        <v>-375.08920000000001</v>
      </c>
      <c r="R48" s="24">
        <f t="shared" si="9"/>
        <v>0.68722797532147939</v>
      </c>
      <c r="S48" s="24">
        <f t="shared" si="6"/>
        <v>0.67247388683733467</v>
      </c>
    </row>
    <row r="49" spans="1:19" ht="20" customHeight="1" x14ac:dyDescent="0.3">
      <c r="A49" t="s">
        <v>128</v>
      </c>
      <c r="B49" s="8">
        <v>8</v>
      </c>
      <c r="C49" s="8" t="s">
        <v>71</v>
      </c>
      <c r="D49" s="8" t="s">
        <v>72</v>
      </c>
      <c r="E49" s="8">
        <v>2890</v>
      </c>
      <c r="F49" s="8">
        <v>0</v>
      </c>
      <c r="G49" s="12">
        <v>4.0075773830911953E-4</v>
      </c>
      <c r="H49" s="12">
        <v>0</v>
      </c>
      <c r="I49" s="8"/>
      <c r="J49" s="12">
        <f t="shared" si="8"/>
        <v>1</v>
      </c>
      <c r="K49" s="20">
        <f t="shared" si="0"/>
        <v>6.7428928723029359E-4</v>
      </c>
      <c r="L49" s="12">
        <f t="shared" si="7"/>
        <v>0</v>
      </c>
      <c r="M49" s="21">
        <f t="shared" si="2"/>
        <v>3329.0272677856542</v>
      </c>
      <c r="N49" s="21">
        <f t="shared" si="10"/>
        <v>0</v>
      </c>
      <c r="O49" s="11">
        <v>1.5576000000000001E-4</v>
      </c>
      <c r="P49" s="8"/>
      <c r="Q49" s="8"/>
      <c r="R49" s="24">
        <f t="shared" si="9"/>
        <v>1</v>
      </c>
      <c r="S49" s="24">
        <f t="shared" si="6"/>
        <v>1</v>
      </c>
    </row>
    <row r="50" spans="1:19" ht="20" customHeight="1" x14ac:dyDescent="0.3">
      <c r="A50" t="s">
        <v>128</v>
      </c>
      <c r="B50" s="8">
        <v>8</v>
      </c>
      <c r="C50" s="8" t="s">
        <v>71</v>
      </c>
      <c r="D50" s="8" t="s">
        <v>124</v>
      </c>
      <c r="E50" s="8">
        <v>7245</v>
      </c>
      <c r="F50" s="8">
        <v>0</v>
      </c>
      <c r="G50" s="12">
        <v>4.0075773830911953E-4</v>
      </c>
      <c r="H50" s="12">
        <v>0</v>
      </c>
      <c r="I50" s="8"/>
      <c r="J50" s="12">
        <f t="shared" si="8"/>
        <v>1</v>
      </c>
      <c r="K50" s="20">
        <f t="shared" si="0"/>
        <v>1.5787356872302939E-3</v>
      </c>
      <c r="L50" s="12">
        <f t="shared" si="7"/>
        <v>0</v>
      </c>
      <c r="M50" s="21">
        <f t="shared" si="2"/>
        <v>9135.6939344523234</v>
      </c>
      <c r="N50" s="21">
        <f t="shared" si="10"/>
        <v>0</v>
      </c>
      <c r="O50" s="11">
        <v>1.5576000000000001E-4</v>
      </c>
      <c r="P50" s="8"/>
      <c r="Q50" s="8"/>
      <c r="R50" s="24">
        <f t="shared" si="9"/>
        <v>1</v>
      </c>
      <c r="S50" s="24">
        <f t="shared" si="6"/>
        <v>1</v>
      </c>
    </row>
    <row r="51" spans="1:19" ht="20" customHeight="1" x14ac:dyDescent="0.3">
      <c r="A51" t="s">
        <v>128</v>
      </c>
      <c r="B51" s="8">
        <v>8</v>
      </c>
      <c r="C51" s="8" t="s">
        <v>71</v>
      </c>
      <c r="D51" s="8" t="s">
        <v>69</v>
      </c>
      <c r="E51" s="8">
        <v>5807</v>
      </c>
      <c r="F51" s="8">
        <v>0</v>
      </c>
      <c r="G51" s="12">
        <v>4.0075773830911953E-4</v>
      </c>
      <c r="H51" s="12">
        <v>0</v>
      </c>
      <c r="I51" s="8"/>
      <c r="J51" s="12">
        <f t="shared" si="8"/>
        <v>1</v>
      </c>
      <c r="K51" s="20">
        <f t="shared" si="0"/>
        <v>1.2800918472302936E-3</v>
      </c>
      <c r="L51" s="12">
        <f t="shared" si="7"/>
        <v>0</v>
      </c>
      <c r="M51" s="21">
        <f t="shared" si="2"/>
        <v>7218.3606011189877</v>
      </c>
      <c r="N51" s="21">
        <f t="shared" si="10"/>
        <v>0</v>
      </c>
      <c r="O51" s="11">
        <v>1.5576000000000001E-4</v>
      </c>
      <c r="P51" s="8"/>
      <c r="Q51" s="8"/>
      <c r="R51" s="24">
        <f t="shared" si="9"/>
        <v>1</v>
      </c>
      <c r="S51" s="24">
        <f t="shared" si="6"/>
        <v>1</v>
      </c>
    </row>
    <row r="52" spans="1:19" s="4" customFormat="1" ht="20" customHeight="1" x14ac:dyDescent="0.3">
      <c r="A52" s="4" t="s">
        <v>135</v>
      </c>
      <c r="B52" s="17">
        <v>9</v>
      </c>
      <c r="C52" s="17" t="s">
        <v>134</v>
      </c>
      <c r="D52" s="17" t="s">
        <v>76</v>
      </c>
      <c r="E52" s="17">
        <v>975</v>
      </c>
      <c r="F52" s="17">
        <v>128</v>
      </c>
      <c r="G52" s="27">
        <v>4.2371334751633362E-4</v>
      </c>
      <c r="H52" s="27">
        <v>2.7460915687134531E-5</v>
      </c>
      <c r="I52" s="17"/>
      <c r="J52" s="27">
        <f t="shared" si="8"/>
        <v>1</v>
      </c>
      <c r="K52" s="29">
        <f t="shared" si="0"/>
        <v>2.6893021749455548E-4</v>
      </c>
      <c r="L52" s="27">
        <f t="shared" si="7"/>
        <v>2.811489133132577E-5</v>
      </c>
      <c r="M52" s="29">
        <f t="shared" si="2"/>
        <v>726.56790892755168</v>
      </c>
      <c r="N52" s="29">
        <f t="shared" si="10"/>
        <v>180.50135677533234</v>
      </c>
      <c r="O52" s="29">
        <v>1.5576000000000001E-4</v>
      </c>
      <c r="P52" s="17"/>
      <c r="Q52" s="17"/>
      <c r="R52" s="32">
        <f t="shared" si="9"/>
        <v>1</v>
      </c>
      <c r="S52" s="32">
        <f t="shared" si="6"/>
        <v>1</v>
      </c>
    </row>
    <row r="53" spans="1:19" ht="20" customHeight="1" x14ac:dyDescent="0.3">
      <c r="A53" t="s">
        <v>135</v>
      </c>
      <c r="B53" s="8">
        <v>9</v>
      </c>
      <c r="C53" s="8" t="s">
        <v>75</v>
      </c>
      <c r="D53" s="12" t="s">
        <v>22</v>
      </c>
      <c r="E53" s="12">
        <v>1526</v>
      </c>
      <c r="F53" s="12">
        <v>108</v>
      </c>
      <c r="G53" s="19">
        <v>4.2371334751633362E-4</v>
      </c>
      <c r="H53" s="19">
        <v>2.7460915687134531E-5</v>
      </c>
      <c r="I53" s="20">
        <v>-312.74279999999999</v>
      </c>
      <c r="J53" s="12">
        <f t="shared" si="8"/>
        <v>0.73143801423523203</v>
      </c>
      <c r="K53" s="20">
        <f t="shared" si="0"/>
        <v>4.2129299682923003E-4</v>
      </c>
      <c r="L53" s="12">
        <f t="shared" si="7"/>
        <v>2.3407415023423913E-5</v>
      </c>
      <c r="M53" s="21">
        <f t="shared" si="2"/>
        <v>1704.7572985954673</v>
      </c>
      <c r="N53" s="21">
        <f t="shared" si="10"/>
        <v>150.27873024797066</v>
      </c>
      <c r="O53" s="11">
        <v>1.5576000000000001E-4</v>
      </c>
      <c r="P53" s="8">
        <v>1</v>
      </c>
      <c r="Q53" s="8">
        <v>-375.09109999999998</v>
      </c>
      <c r="R53" s="24">
        <f t="shared" si="9"/>
        <v>0.6872266695895668</v>
      </c>
      <c r="S53" s="24">
        <f t="shared" si="6"/>
        <v>0.67248955470767846</v>
      </c>
    </row>
    <row r="54" spans="1:19" ht="20" customHeight="1" x14ac:dyDescent="0.3">
      <c r="A54" t="s">
        <v>135</v>
      </c>
      <c r="B54" s="8">
        <v>9</v>
      </c>
      <c r="C54" s="8" t="s">
        <v>75</v>
      </c>
      <c r="D54" s="12" t="s">
        <v>24</v>
      </c>
      <c r="E54" s="12">
        <v>2321</v>
      </c>
      <c r="F54" s="12">
        <v>101</v>
      </c>
      <c r="G54" s="19">
        <v>4.2371334751633362E-4</v>
      </c>
      <c r="H54" s="19">
        <v>2.7460915687134531E-5</v>
      </c>
      <c r="I54" s="19">
        <v>-312.67140000000001</v>
      </c>
      <c r="J54" s="12">
        <f t="shared" si="8"/>
        <v>0.73149024077391367</v>
      </c>
      <c r="K54" s="20">
        <f t="shared" si="0"/>
        <v>5.8639122046871882E-4</v>
      </c>
      <c r="L54" s="12">
        <f t="shared" si="7"/>
        <v>2.2018466173260985E-5</v>
      </c>
      <c r="M54" s="21">
        <f t="shared" si="2"/>
        <v>2764.7099413759552</v>
      </c>
      <c r="N54" s="21">
        <f t="shared" si="10"/>
        <v>141.36149315139306</v>
      </c>
      <c r="O54" s="11">
        <v>1.5576000000000001E-4</v>
      </c>
      <c r="P54" s="8">
        <v>2</v>
      </c>
      <c r="Q54" s="25">
        <v>-375.08920000000001</v>
      </c>
      <c r="R54" s="24">
        <f t="shared" si="9"/>
        <v>0.68722797532147939</v>
      </c>
      <c r="S54" s="24">
        <f t="shared" si="6"/>
        <v>0.67247388683733467</v>
      </c>
    </row>
    <row r="55" spans="1:19" ht="20" customHeight="1" x14ac:dyDescent="0.3">
      <c r="A55" t="s">
        <v>135</v>
      </c>
      <c r="B55" s="8">
        <v>9</v>
      </c>
      <c r="C55" s="8" t="s">
        <v>75</v>
      </c>
      <c r="D55" s="8" t="s">
        <v>7</v>
      </c>
      <c r="E55" s="8">
        <v>5797</v>
      </c>
      <c r="F55" s="8">
        <v>433</v>
      </c>
      <c r="G55" s="12">
        <v>4.2371334751633362E-4</v>
      </c>
      <c r="H55" s="12">
        <v>2.7460915687134531E-5</v>
      </c>
      <c r="I55" s="8"/>
      <c r="J55" s="12">
        <f t="shared" si="8"/>
        <v>1</v>
      </c>
      <c r="K55" s="20">
        <f t="shared" si="0"/>
        <v>1.2703631774945556E-3</v>
      </c>
      <c r="L55" s="12">
        <f t="shared" si="7"/>
        <v>9.0390120356841322E-5</v>
      </c>
      <c r="M55" s="21">
        <f t="shared" si="2"/>
        <v>7155.9012422608848</v>
      </c>
      <c r="N55" s="21">
        <f t="shared" si="10"/>
        <v>580.31664327710143</v>
      </c>
      <c r="O55" s="11">
        <v>1.5576000000000001E-4</v>
      </c>
      <c r="P55" s="8"/>
      <c r="Q55" s="8"/>
      <c r="R55" s="24">
        <f t="shared" si="9"/>
        <v>1</v>
      </c>
      <c r="S55" s="24">
        <f t="shared" si="6"/>
        <v>1</v>
      </c>
    </row>
    <row r="56" spans="1:19" ht="20" customHeight="1" x14ac:dyDescent="0.3">
      <c r="A56" t="s">
        <v>135</v>
      </c>
      <c r="B56" s="8">
        <v>9</v>
      </c>
      <c r="C56" s="8" t="s">
        <v>75</v>
      </c>
      <c r="D56" s="8" t="s">
        <v>13</v>
      </c>
      <c r="E56" s="8">
        <v>2835</v>
      </c>
      <c r="F56" s="8">
        <v>353</v>
      </c>
      <c r="G56" s="12">
        <v>4.2371334751633362E-4</v>
      </c>
      <c r="H56" s="12">
        <v>2.7460915687134531E-5</v>
      </c>
      <c r="I56" s="8">
        <v>-369.47019999999998</v>
      </c>
      <c r="J56" s="12">
        <f t="shared" si="8"/>
        <v>0.691100378643281</v>
      </c>
      <c r="K56" s="20">
        <f t="shared" si="0"/>
        <v>6.9884331503174992E-4</v>
      </c>
      <c r="L56" s="12">
        <f t="shared" si="7"/>
        <v>7.3583475814692324E-5</v>
      </c>
      <c r="M56" s="21">
        <f t="shared" si="2"/>
        <v>3486.6674051858622</v>
      </c>
      <c r="N56" s="21">
        <f t="shared" si="10"/>
        <v>472.41574097773702</v>
      </c>
      <c r="O56" s="11">
        <v>1.5576000000000001E-4</v>
      </c>
      <c r="P56" s="8"/>
      <c r="Q56" s="8">
        <v>-318.20209999999997</v>
      </c>
      <c r="R56" s="24">
        <f t="shared" si="9"/>
        <v>0.72745575474930924</v>
      </c>
      <c r="S56" s="24">
        <f t="shared" si="6"/>
        <v>0.73957421345131868</v>
      </c>
    </row>
    <row r="57" spans="1:19" s="4" customFormat="1" ht="20" customHeight="1" x14ac:dyDescent="0.3">
      <c r="A57" s="4" t="s">
        <v>127</v>
      </c>
      <c r="B57" s="17">
        <v>10</v>
      </c>
      <c r="C57" s="17" t="s">
        <v>136</v>
      </c>
      <c r="D57" s="17" t="s">
        <v>76</v>
      </c>
      <c r="E57" s="17">
        <v>399</v>
      </c>
      <c r="F57" s="17">
        <v>17</v>
      </c>
      <c r="G57" s="27">
        <v>3.0013922692422821E-4</v>
      </c>
      <c r="H57" s="27">
        <v>3.647152864697555E-6</v>
      </c>
      <c r="I57" s="31"/>
      <c r="J57" s="27">
        <f t="shared" si="8"/>
        <v>1</v>
      </c>
      <c r="K57" s="29">
        <f t="shared" si="0"/>
        <v>1.904979110252573E-4</v>
      </c>
      <c r="L57" s="27">
        <f t="shared" si="7"/>
        <v>3.7340090049417039E-6</v>
      </c>
      <c r="M57" s="29">
        <f t="shared" si="2"/>
        <v>223.02202764032674</v>
      </c>
      <c r="N57" s="29">
        <f t="shared" si="10"/>
        <v>23.972836446723829</v>
      </c>
      <c r="O57" s="29">
        <v>1.5576000000000001E-4</v>
      </c>
      <c r="P57" s="17"/>
      <c r="Q57" s="17"/>
      <c r="R57" s="32">
        <f t="shared" si="9"/>
        <v>1</v>
      </c>
      <c r="S57" s="32">
        <f t="shared" si="6"/>
        <v>1</v>
      </c>
    </row>
    <row r="58" spans="1:19" ht="20" customHeight="1" x14ac:dyDescent="0.3">
      <c r="A58" t="s">
        <v>127</v>
      </c>
      <c r="B58" s="8">
        <v>10</v>
      </c>
      <c r="C58" s="8" t="s">
        <v>88</v>
      </c>
      <c r="D58" s="12" t="s">
        <v>22</v>
      </c>
      <c r="E58" s="12">
        <v>614</v>
      </c>
      <c r="F58" s="12">
        <v>61</v>
      </c>
      <c r="G58" s="19">
        <v>3.0013922692422821E-4</v>
      </c>
      <c r="H58" s="19">
        <v>3.647152864697555E-6</v>
      </c>
      <c r="I58" s="20">
        <v>-312.74279999999999</v>
      </c>
      <c r="J58" s="12">
        <f t="shared" si="8"/>
        <v>0.73143801423523203</v>
      </c>
      <c r="K58" s="20">
        <f t="shared" ref="K58:K63" si="11">(4*(O58*(1+E58/1000))-G58*J58)/3</f>
        <v>2.6201777328814833E-4</v>
      </c>
      <c r="L58" s="12">
        <f t="shared" si="7"/>
        <v>1.2699649657501389E-5</v>
      </c>
      <c r="M58" s="21">
        <f t="shared" ref="M58:M63" si="12">(K58/O58-1)*1000</f>
        <v>682.18909404306817</v>
      </c>
      <c r="N58" s="21">
        <f t="shared" si="10"/>
        <v>81.533446696850206</v>
      </c>
      <c r="O58" s="11">
        <v>1.5576000000000001E-4</v>
      </c>
      <c r="P58" s="8">
        <v>1</v>
      </c>
      <c r="Q58" s="8">
        <v>-375.09109999999998</v>
      </c>
      <c r="R58" s="24">
        <f t="shared" si="9"/>
        <v>0.6872266695895668</v>
      </c>
      <c r="S58" s="24">
        <f t="shared" ref="S58:S63" si="13">(4*R58-J58)/3</f>
        <v>0.67248955470767846</v>
      </c>
    </row>
    <row r="59" spans="1:19" ht="20" customHeight="1" x14ac:dyDescent="0.3">
      <c r="A59" t="s">
        <v>126</v>
      </c>
      <c r="B59" s="8">
        <v>10</v>
      </c>
      <c r="C59" s="8" t="s">
        <v>88</v>
      </c>
      <c r="D59" s="12" t="s">
        <v>24</v>
      </c>
      <c r="E59" s="12">
        <v>510</v>
      </c>
      <c r="F59" s="12">
        <v>53</v>
      </c>
      <c r="G59" s="19">
        <v>3.0013922692422821E-4</v>
      </c>
      <c r="H59" s="19">
        <v>3.647152864697555E-6</v>
      </c>
      <c r="I59" s="19">
        <v>-312.67140000000001</v>
      </c>
      <c r="J59" s="12">
        <f t="shared" si="8"/>
        <v>0.73149024077391367</v>
      </c>
      <c r="K59" s="20">
        <f t="shared" si="11"/>
        <v>2.4041382821050002E-4</v>
      </c>
      <c r="L59" s="12">
        <f t="shared" si="7"/>
        <v>1.1042905342199125E-5</v>
      </c>
      <c r="M59" s="21">
        <f t="shared" si="12"/>
        <v>543.48888168014889</v>
      </c>
      <c r="N59" s="21">
        <f t="shared" si="10"/>
        <v>70.896926952998996</v>
      </c>
      <c r="O59" s="11">
        <v>1.5576000000000001E-4</v>
      </c>
      <c r="P59" s="8">
        <v>2</v>
      </c>
      <c r="Q59" s="25">
        <v>-375.08920000000001</v>
      </c>
      <c r="R59" s="24">
        <f t="shared" si="9"/>
        <v>0.68722797532147939</v>
      </c>
      <c r="S59" s="24">
        <f t="shared" si="13"/>
        <v>0.67247388683733467</v>
      </c>
    </row>
    <row r="60" spans="1:19" ht="20" customHeight="1" x14ac:dyDescent="0.3">
      <c r="A60" t="s">
        <v>126</v>
      </c>
      <c r="B60" s="8">
        <v>10</v>
      </c>
      <c r="C60" s="8" t="s">
        <v>88</v>
      </c>
      <c r="D60" s="12" t="s">
        <v>30</v>
      </c>
      <c r="E60" s="12">
        <v>2432</v>
      </c>
      <c r="F60" s="12">
        <v>11</v>
      </c>
      <c r="G60" s="19">
        <v>3.0013922692422821E-4</v>
      </c>
      <c r="H60" s="19">
        <v>3.647152864697555E-6</v>
      </c>
      <c r="I60" s="12">
        <v>-149.7405</v>
      </c>
      <c r="J60" s="12">
        <f t="shared" si="8"/>
        <v>0.86093135912759222</v>
      </c>
      <c r="K60" s="20">
        <f t="shared" si="11"/>
        <v>6.2662466914553986E-4</v>
      </c>
      <c r="L60" s="12">
        <f t="shared" si="7"/>
        <v>2.5128318462807986E-6</v>
      </c>
      <c r="M60" s="21">
        <f t="shared" si="12"/>
        <v>3023.0140546067014</v>
      </c>
      <c r="N60" s="21">
        <f t="shared" si="10"/>
        <v>16.132716013615809</v>
      </c>
      <c r="O60" s="11">
        <v>1.5576000000000001E-4</v>
      </c>
      <c r="P60" s="8">
        <v>3</v>
      </c>
      <c r="Q60" s="8">
        <v>-346.4067</v>
      </c>
      <c r="R60" s="24">
        <f t="shared" si="9"/>
        <v>0.70722480028307644</v>
      </c>
      <c r="S60" s="24">
        <f t="shared" si="13"/>
        <v>0.65598928066823781</v>
      </c>
    </row>
    <row r="61" spans="1:19" ht="20" customHeight="1" x14ac:dyDescent="0.3">
      <c r="A61" t="s">
        <v>126</v>
      </c>
      <c r="B61" s="8">
        <v>10</v>
      </c>
      <c r="C61" s="8" t="s">
        <v>88</v>
      </c>
      <c r="D61" s="12" t="s">
        <v>43</v>
      </c>
      <c r="E61" s="12">
        <v>2266</v>
      </c>
      <c r="F61" s="12">
        <v>101</v>
      </c>
      <c r="G61" s="19">
        <v>3.0013922692422821E-4</v>
      </c>
      <c r="H61" s="19">
        <v>3.647152864697555E-6</v>
      </c>
      <c r="I61" s="12">
        <v>-278.6789</v>
      </c>
      <c r="J61" s="12">
        <f t="shared" si="8"/>
        <v>0.75678286718374732</v>
      </c>
      <c r="K61" s="20">
        <f t="shared" si="11"/>
        <v>6.0256947176465648E-4</v>
      </c>
      <c r="L61" s="12">
        <f t="shared" si="7"/>
        <v>2.0995847554111019E-5</v>
      </c>
      <c r="M61" s="21">
        <f t="shared" si="12"/>
        <v>2868.5764751197767</v>
      </c>
      <c r="N61" s="21">
        <f t="shared" si="10"/>
        <v>134.79614505720991</v>
      </c>
      <c r="O61" s="11">
        <v>1.5576000000000001E-4</v>
      </c>
      <c r="P61" s="8">
        <v>4</v>
      </c>
      <c r="Q61" s="8">
        <v>-365.51690000000002</v>
      </c>
      <c r="R61" s="24">
        <f t="shared" si="9"/>
        <v>0.69383791335284084</v>
      </c>
      <c r="S61" s="24">
        <f t="shared" si="13"/>
        <v>0.67285626207587201</v>
      </c>
    </row>
    <row r="62" spans="1:19" ht="20" customHeight="1" x14ac:dyDescent="0.3">
      <c r="A62" t="s">
        <v>126</v>
      </c>
      <c r="B62" s="8">
        <v>10</v>
      </c>
      <c r="C62" s="8" t="s">
        <v>88</v>
      </c>
      <c r="D62" s="12" t="s">
        <v>94</v>
      </c>
      <c r="E62" s="12">
        <v>1819</v>
      </c>
      <c r="F62" s="12">
        <v>27</v>
      </c>
      <c r="G62" s="19">
        <v>3.0013922692422821E-4</v>
      </c>
      <c r="H62" s="19">
        <v>3.647152864697555E-6</v>
      </c>
      <c r="I62" s="12">
        <v>-278.73500000000001</v>
      </c>
      <c r="J62" s="12">
        <f t="shared" si="8"/>
        <v>0.75674041285575333</v>
      </c>
      <c r="K62" s="20">
        <f t="shared" si="11"/>
        <v>5.0974075916771769E-4</v>
      </c>
      <c r="L62" s="12">
        <f t="shared" si="7"/>
        <v>5.6823282424410166E-6</v>
      </c>
      <c r="M62" s="21">
        <f t="shared" si="12"/>
        <v>2272.6037440146229</v>
      </c>
      <c r="N62" s="21">
        <f t="shared" si="10"/>
        <v>36.481306127638774</v>
      </c>
      <c r="O62" s="11">
        <v>1.5576000000000001E-4</v>
      </c>
      <c r="P62" s="8">
        <v>5</v>
      </c>
      <c r="Q62" s="8">
        <v>-366.1866</v>
      </c>
      <c r="R62" s="24">
        <f t="shared" si="9"/>
        <v>0.69337340566003025</v>
      </c>
      <c r="S62" s="24">
        <f t="shared" si="13"/>
        <v>0.67225106992812256</v>
      </c>
    </row>
    <row r="63" spans="1:19" ht="20" customHeight="1" x14ac:dyDescent="0.3">
      <c r="A63" t="s">
        <v>126</v>
      </c>
      <c r="B63" s="8">
        <v>10</v>
      </c>
      <c r="C63" s="8" t="s">
        <v>88</v>
      </c>
      <c r="D63" s="8" t="s">
        <v>13</v>
      </c>
      <c r="E63" s="8">
        <v>1063</v>
      </c>
      <c r="F63" s="8">
        <v>47</v>
      </c>
      <c r="G63" s="12">
        <v>3.0013922692422821E-4</v>
      </c>
      <c r="H63" s="12">
        <v>3.647152864697555E-6</v>
      </c>
      <c r="I63" s="8">
        <v>-369.47019999999998</v>
      </c>
      <c r="J63" s="12">
        <f t="shared" si="8"/>
        <v>0.691100378643281</v>
      </c>
      <c r="K63" s="20">
        <f t="shared" si="11"/>
        <v>3.5930172887565473E-4</v>
      </c>
      <c r="L63" s="12">
        <f t="shared" si="7"/>
        <v>9.7970529977888014E-6</v>
      </c>
      <c r="M63" s="21">
        <f t="shared" si="12"/>
        <v>1306.7650800953691</v>
      </c>
      <c r="N63" s="21">
        <f t="shared" si="10"/>
        <v>62.898388532285573</v>
      </c>
      <c r="O63" s="11">
        <v>1.5576000000000001E-4</v>
      </c>
      <c r="P63" s="8"/>
      <c r="Q63" s="8">
        <v>-318.20209999999997</v>
      </c>
      <c r="R63" s="24">
        <f t="shared" si="9"/>
        <v>0.72745575474930924</v>
      </c>
      <c r="S63" s="24">
        <f t="shared" si="13"/>
        <v>0.73957421345131868</v>
      </c>
    </row>
    <row r="64" spans="1:19" x14ac:dyDescent="0.3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2:17" x14ac:dyDescent="0.3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2:17" x14ac:dyDescent="0.3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2:17" x14ac:dyDescent="0.3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2:17" x14ac:dyDescent="0.3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2:17" x14ac:dyDescent="0.3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2:17" x14ac:dyDescent="0.3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2:17" x14ac:dyDescent="0.3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2:17" x14ac:dyDescent="0.3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2:17" x14ac:dyDescent="0.3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2:17" x14ac:dyDescent="0.3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2:17" x14ac:dyDescent="0.3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2:17" x14ac:dyDescent="0.3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2:17" x14ac:dyDescent="0.3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287466-0F37-4CBD-B273-28BEC4A88C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文献数据</vt:lpstr>
      <vt:lpstr>Rwater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2369331710@qq.com</cp:lastModifiedBy>
  <dcterms:created xsi:type="dcterms:W3CDTF">2025-09-08T13:39:41Z</dcterms:created>
  <dcterms:modified xsi:type="dcterms:W3CDTF">2026-05-18T16:42:41Z</dcterms:modified>
</cp:coreProperties>
</file>