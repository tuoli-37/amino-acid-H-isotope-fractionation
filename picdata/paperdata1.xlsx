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1\dataanalysis\"/>
    </mc:Choice>
  </mc:AlternateContent>
  <xr:revisionPtr revIDLastSave="0" documentId="13_ncr:1_{4AF5B212-C4D2-4827-9A51-C3D40866E819}" xr6:coauthVersionLast="47" xr6:coauthVersionMax="47" xr10:uidLastSave="{00000000-0000-0000-0000-000000000000}"/>
  <bookViews>
    <workbookView xWindow="-98" yWindow="-98" windowWidth="23236" windowHeight="13875" activeTab="3" xr2:uid="{00000000-000D-0000-FFFF-FFFF00000000}"/>
  </bookViews>
  <sheets>
    <sheet name="文献数据" sheetId="1" r:id="rId1"/>
    <sheet name="表4" sheetId="6" r:id="rId2"/>
    <sheet name="Rwater" sheetId="2" r:id="rId3"/>
    <sheet name="Sheet2" sheetId="3" r:id="rId4"/>
    <sheet name="DH" sheetId="4" r:id="rId5"/>
  </sheets>
  <definedNames>
    <definedName name="ExternalData_1" localSheetId="1" hidden="1">'表4'!$A$1:$A$11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" l="1"/>
  <c r="I27" i="3"/>
  <c r="M27" i="3"/>
  <c r="Z27" i="3"/>
  <c r="AA27" i="3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5" i="3"/>
  <c r="Z6" i="3"/>
  <c r="M3" i="3"/>
  <c r="N3" i="3" s="1"/>
  <c r="V35" i="3" s="1"/>
  <c r="M4" i="3"/>
  <c r="N4" i="3" s="1"/>
  <c r="M5" i="3"/>
  <c r="O5" i="3" s="1"/>
  <c r="M6" i="3"/>
  <c r="N6" i="3" s="1"/>
  <c r="M7" i="3"/>
  <c r="O7" i="3" s="1"/>
  <c r="M9" i="3"/>
  <c r="O9" i="3" s="1"/>
  <c r="M10" i="3"/>
  <c r="O10" i="3" s="1"/>
  <c r="M11" i="3"/>
  <c r="N11" i="3" s="1"/>
  <c r="M12" i="3"/>
  <c r="O12" i="3" s="1"/>
  <c r="M13" i="3"/>
  <c r="M14" i="3"/>
  <c r="N14" i="3" s="1"/>
  <c r="V40" i="3" s="1"/>
  <c r="M15" i="3"/>
  <c r="N15" i="3" s="1"/>
  <c r="V10" i="3" s="1"/>
  <c r="M16" i="3"/>
  <c r="M17" i="3"/>
  <c r="O17" i="3" s="1"/>
  <c r="Q17" i="3" s="1"/>
  <c r="M18" i="3"/>
  <c r="O18" i="3" s="1"/>
  <c r="M19" i="3"/>
  <c r="O19" i="3" s="1"/>
  <c r="M20" i="3"/>
  <c r="N20" i="3" s="1"/>
  <c r="V42" i="3" s="1"/>
  <c r="M21" i="3"/>
  <c r="M22" i="3"/>
  <c r="N22" i="3" s="1"/>
  <c r="V19" i="3" s="1"/>
  <c r="M23" i="3"/>
  <c r="N23" i="3" s="1"/>
  <c r="M24" i="3"/>
  <c r="N24" i="3" s="1"/>
  <c r="M25" i="3"/>
  <c r="N25" i="3" s="1"/>
  <c r="M26" i="3"/>
  <c r="O26" i="3" s="1"/>
  <c r="M28" i="3"/>
  <c r="O28" i="3" s="1"/>
  <c r="M29" i="3"/>
  <c r="O29" i="3" s="1"/>
  <c r="Q29" i="3" s="1"/>
  <c r="M30" i="3"/>
  <c r="N30" i="3" s="1"/>
  <c r="M31" i="3"/>
  <c r="O31" i="3" s="1"/>
  <c r="Q31" i="3" s="1"/>
  <c r="M32" i="3"/>
  <c r="N32" i="3" s="1"/>
  <c r="M33" i="3"/>
  <c r="N33" i="3" s="1"/>
  <c r="M34" i="3"/>
  <c r="N34" i="3" s="1"/>
  <c r="M35" i="3"/>
  <c r="O35" i="3" s="1"/>
  <c r="M36" i="3"/>
  <c r="O36" i="3" s="1"/>
  <c r="Q36" i="3" s="1"/>
  <c r="M37" i="3"/>
  <c r="O37" i="3" s="1"/>
  <c r="Q37" i="3" s="1"/>
  <c r="M38" i="3"/>
  <c r="O38" i="3" s="1"/>
  <c r="Q38" i="3" s="1"/>
  <c r="M39" i="3"/>
  <c r="N39" i="3" s="1"/>
  <c r="V21" i="3" s="1"/>
  <c r="M40" i="3"/>
  <c r="O40" i="3" s="1"/>
  <c r="M41" i="3"/>
  <c r="N41" i="3" s="1"/>
  <c r="V12" i="3" s="1"/>
  <c r="M42" i="3"/>
  <c r="N42" i="3" s="1"/>
  <c r="V39" i="3" s="1"/>
  <c r="Z7" i="3"/>
  <c r="E10" i="2"/>
  <c r="E7" i="2"/>
  <c r="E9" i="2"/>
  <c r="Z8" i="3"/>
  <c r="M8" i="3"/>
  <c r="N8" i="3" s="1"/>
  <c r="D3" i="2"/>
  <c r="E4" i="2" s="1"/>
  <c r="D4" i="2"/>
  <c r="E5" i="2" s="1"/>
  <c r="D5" i="2"/>
  <c r="E6" i="2" s="1"/>
  <c r="D6" i="2"/>
  <c r="F7" i="2" s="1"/>
  <c r="D7" i="2"/>
  <c r="F8" i="2" s="1"/>
  <c r="D8" i="2"/>
  <c r="F9" i="2" s="1"/>
  <c r="D9" i="2"/>
  <c r="D10" i="2"/>
  <c r="F11" i="2" s="1"/>
  <c r="D11" i="2"/>
  <c r="F12" i="2" s="1"/>
  <c r="D2" i="2"/>
  <c r="F3" i="2" s="1"/>
  <c r="N27" i="3" l="1"/>
  <c r="O27" i="3"/>
  <c r="Q27" i="3" s="1"/>
  <c r="P4" i="3"/>
  <c r="V4" i="3"/>
  <c r="P6" i="3"/>
  <c r="V6" i="3"/>
  <c r="P11" i="3"/>
  <c r="V11" i="3"/>
  <c r="P23" i="3"/>
  <c r="V23" i="3"/>
  <c r="P24" i="3"/>
  <c r="V26" i="3"/>
  <c r="P25" i="3"/>
  <c r="V28" i="3"/>
  <c r="P30" i="3"/>
  <c r="V30" i="3"/>
  <c r="P32" i="3"/>
  <c r="V32" i="3"/>
  <c r="P33" i="3"/>
  <c r="V18" i="3"/>
  <c r="P34" i="3"/>
  <c r="V33" i="3"/>
  <c r="P8" i="3"/>
  <c r="V20" i="3"/>
  <c r="O21" i="3"/>
  <c r="N21" i="3"/>
  <c r="V7" i="3" s="1"/>
  <c r="E11" i="2"/>
  <c r="F6" i="2"/>
  <c r="F5" i="2"/>
  <c r="F4" i="2"/>
  <c r="E8" i="2"/>
  <c r="E12" i="2"/>
  <c r="N9" i="3"/>
  <c r="N26" i="3"/>
  <c r="N35" i="3"/>
  <c r="O25" i="3"/>
  <c r="Q25" i="3" s="1"/>
  <c r="O39" i="3"/>
  <c r="Q39" i="3" s="1"/>
  <c r="N5" i="3"/>
  <c r="E3" i="2"/>
  <c r="O14" i="3"/>
  <c r="Q14" i="3" s="1"/>
  <c r="N10" i="3"/>
  <c r="N40" i="3"/>
  <c r="O20" i="3"/>
  <c r="Q20" i="3" s="1"/>
  <c r="N7" i="3"/>
  <c r="O24" i="3"/>
  <c r="Q24" i="3" s="1"/>
  <c r="O3" i="3"/>
  <c r="Q3" i="3" s="1"/>
  <c r="O42" i="3"/>
  <c r="Q42" i="3" s="1"/>
  <c r="O41" i="3"/>
  <c r="Q41" i="3" s="1"/>
  <c r="O15" i="3"/>
  <c r="Q15" i="3" s="1"/>
  <c r="N16" i="3"/>
  <c r="P21" i="3"/>
  <c r="Q18" i="3"/>
  <c r="P14" i="3"/>
  <c r="O16" i="3"/>
  <c r="Q16" i="3" s="1"/>
  <c r="N28" i="3"/>
  <c r="O13" i="3"/>
  <c r="Q13" i="3" s="1"/>
  <c r="P22" i="3"/>
  <c r="O22" i="3"/>
  <c r="Q22" i="3" s="1"/>
  <c r="P39" i="3"/>
  <c r="O8" i="3"/>
  <c r="Q8" i="3" s="1"/>
  <c r="Q9" i="3"/>
  <c r="Q19" i="3"/>
  <c r="Q12" i="3"/>
  <c r="P3" i="3"/>
  <c r="AA28" i="3"/>
  <c r="AA24" i="3"/>
  <c r="O6" i="3"/>
  <c r="Q6" i="3" s="1"/>
  <c r="N36" i="3"/>
  <c r="AA34" i="3"/>
  <c r="AA6" i="3"/>
  <c r="AA7" i="3"/>
  <c r="N13" i="3"/>
  <c r="N12" i="3"/>
  <c r="AA13" i="3"/>
  <c r="AA12" i="3"/>
  <c r="AA5" i="3"/>
  <c r="AA30" i="3"/>
  <c r="AA22" i="3"/>
  <c r="AA29" i="3"/>
  <c r="P42" i="3"/>
  <c r="N31" i="3"/>
  <c r="O11" i="3"/>
  <c r="Q11" i="3" s="1"/>
  <c r="AA33" i="3"/>
  <c r="AA23" i="3"/>
  <c r="AA11" i="3"/>
  <c r="AA14" i="3"/>
  <c r="AA31" i="3"/>
  <c r="AA35" i="3"/>
  <c r="AA26" i="3"/>
  <c r="AA15" i="3"/>
  <c r="Q5" i="3"/>
  <c r="AA10" i="3"/>
  <c r="O4" i="3"/>
  <c r="Q4" i="3" s="1"/>
  <c r="AA32" i="3"/>
  <c r="AA20" i="3"/>
  <c r="Q10" i="3"/>
  <c r="N29" i="3"/>
  <c r="AA42" i="3"/>
  <c r="O32" i="3"/>
  <c r="Q32" i="3" s="1"/>
  <c r="O30" i="3"/>
  <c r="Q30" i="3" s="1"/>
  <c r="AA21" i="3"/>
  <c r="AA8" i="3"/>
  <c r="Q21" i="3"/>
  <c r="P20" i="3"/>
  <c r="AA36" i="3"/>
  <c r="AA16" i="3"/>
  <c r="AA25" i="3"/>
  <c r="Q35" i="3"/>
  <c r="Q26" i="3"/>
  <c r="O34" i="3"/>
  <c r="Q34" i="3" s="1"/>
  <c r="O33" i="3"/>
  <c r="Q33" i="3" s="1"/>
  <c r="O23" i="3"/>
  <c r="Q23" i="3" s="1"/>
  <c r="N19" i="3"/>
  <c r="N18" i="3"/>
  <c r="AA9" i="3"/>
  <c r="AA17" i="3"/>
  <c r="P15" i="3"/>
  <c r="AA19" i="3"/>
  <c r="AA18" i="3"/>
  <c r="Q40" i="3"/>
  <c r="Q28" i="3"/>
  <c r="N17" i="3"/>
  <c r="AA41" i="3"/>
  <c r="AA40" i="3"/>
  <c r="AA38" i="3"/>
  <c r="AA37" i="3"/>
  <c r="N38" i="3"/>
  <c r="N37" i="3"/>
  <c r="AA39" i="3"/>
  <c r="P41" i="3"/>
  <c r="Q7" i="3"/>
  <c r="F10" i="2"/>
  <c r="V27" i="3" l="1"/>
  <c r="P27" i="3"/>
  <c r="P9" i="3"/>
  <c r="V37" i="3"/>
  <c r="P26" i="3"/>
  <c r="V38" i="3"/>
  <c r="P35" i="3"/>
  <c r="V41" i="3"/>
  <c r="P5" i="3"/>
  <c r="V34" i="3"/>
  <c r="P10" i="3"/>
  <c r="V8" i="3"/>
  <c r="P40" i="3"/>
  <c r="V24" i="3"/>
  <c r="P7" i="3"/>
  <c r="V15" i="3"/>
  <c r="P16" i="3"/>
  <c r="V13" i="3"/>
  <c r="P28" i="3"/>
  <c r="V5" i="3"/>
  <c r="P36" i="3"/>
  <c r="V36" i="3"/>
  <c r="P13" i="3"/>
  <c r="V25" i="3"/>
  <c r="P12" i="3"/>
  <c r="V16" i="3"/>
  <c r="P31" i="3"/>
  <c r="V31" i="3"/>
  <c r="P29" i="3"/>
  <c r="V29" i="3"/>
  <c r="P19" i="3"/>
  <c r="V14" i="3"/>
  <c r="P18" i="3"/>
  <c r="V22" i="3"/>
  <c r="P17" i="3"/>
  <c r="V17" i="3"/>
  <c r="P38" i="3"/>
  <c r="V3" i="3"/>
  <c r="P37" i="3"/>
  <c r="V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EE998-3C32-4796-B3C6-FF98DA0411E7}" keepAlive="1" name="查询 - 表1" description="与工作簿中“表1”查询的连接。" type="5" refreshedVersion="0" background="1">
    <dbPr connection="Provider=Microsoft.Mashup.OleDb.1;Data Source=$Workbook$;Location=表1;Extended Properties=&quot;&quot;" command="SELECT * FROM [表1]"/>
  </connection>
  <connection id="2" xr16:uid="{DC3B2C1B-B90E-43DB-97C6-462A99F6BC33}" keepAlive="1" name="查询 - 表1 (2)" description="与工作簿中“表1 (2)”查询的连接。" type="5" refreshedVersion="0" background="1">
    <dbPr connection="Provider=Microsoft.Mashup.OleDb.1;Data Source=$Workbook$;Location=&quot;表1 (2)&quot;;Extended Properties=&quot;&quot;" command="SELECT * FROM [表1 (2)]"/>
  </connection>
  <connection id="3" xr16:uid="{670C1B1C-6ED8-421C-A99E-84359D5CA3DA}" keepAlive="1" name="查询 - 表1 (3)" description="与工作簿中“表1 (3)”查询的连接。" type="5" refreshedVersion="0" background="1">
    <dbPr connection="Provider=Microsoft.Mashup.OleDb.1;Data Source=$Workbook$;Location=&quot;表1 (3)&quot;;Extended Properties=&quot;&quot;" command="SELECT * FROM [表1 (3)]"/>
  </connection>
  <connection id="4" xr16:uid="{C6AF67E3-50FB-4D7D-827A-52E67423B7D4}" keepAlive="1" name="查询 - 表2" description="与工作簿中“表2”查询的连接。" type="5" refreshedVersion="0" background="1">
    <dbPr connection="Provider=Microsoft.Mashup.OleDb.1;Data Source=$Workbook$;Location=表2;Extended Properties=&quot;&quot;" command="SELECT * FROM [表2]"/>
  </connection>
  <connection id="5" xr16:uid="{99F59634-BD3E-4E4E-8672-24F3BD802C76}" keepAlive="1" name="查询 - 表4" description="与工作簿中“表4”查询的连接。" type="5" refreshedVersion="8" background="1" saveData="1">
    <dbPr connection="Provider=Microsoft.Mashup.OleDb.1;Data Source=$Workbook$;Location=表4;Extended Properties=&quot;&quot;" command="SELECT * FROM [表4]"/>
  </connection>
  <connection id="6" xr16:uid="{3F2D1E48-9C03-4515-ACE8-E81CCAFF8A7A}" keepAlive="1" name="查询 - 表5" description="与工作簿中“表5”查询的连接。" type="5" refreshedVersion="0" background="1">
    <dbPr connection="Provider=Microsoft.Mashup.OleDb.1;Data Source=$Workbook$;Location=表5;Extended Properties=&quot;&quot;" command="SELECT * FROM [表5]"/>
  </connection>
</connections>
</file>

<file path=xl/sharedStrings.xml><?xml version="1.0" encoding="utf-8"?>
<sst xmlns="http://schemas.openxmlformats.org/spreadsheetml/2006/main" count="498" uniqueCount="161">
  <si>
    <t>文献来源</t>
  </si>
  <si>
    <t>method</t>
  </si>
  <si>
    <t>Elsila 2012</t>
  </si>
  <si>
    <t>ALH 83100(CM1/2)</t>
  </si>
  <si>
    <t>Glycine</t>
  </si>
  <si>
    <t xml:space="preserve"> 355±49</t>
  </si>
  <si>
    <t>GC⁄IRMS</t>
  </si>
  <si>
    <t>α-aminoisobutyric acid</t>
  </si>
  <si>
    <t>410±116</t>
  </si>
  <si>
    <t xml:space="preserve"> γ-aminobutyric acid</t>
  </si>
  <si>
    <t>58±6</t>
  </si>
  <si>
    <t>Murchison(CM2)</t>
  </si>
  <si>
    <t>341±186</t>
  </si>
  <si>
    <t>β-alanine</t>
  </si>
  <si>
    <t xml:space="preserve"> 529±57</t>
  </si>
  <si>
    <t>3027±295</t>
  </si>
  <si>
    <t>Isovaline</t>
  </si>
  <si>
    <t xml:space="preserve"> 2904±396</t>
  </si>
  <si>
    <t>LEW90500(CM2)</t>
  </si>
  <si>
    <t xml:space="preserve"> 307±157</t>
  </si>
  <si>
    <t>LON 94101(CM2)</t>
  </si>
  <si>
    <t xml:space="preserve"> 366±71</t>
  </si>
  <si>
    <t>d-alanine</t>
  </si>
  <si>
    <t xml:space="preserve"> 725±25</t>
  </si>
  <si>
    <t>l-alanine</t>
  </si>
  <si>
    <t xml:space="preserve"> 765±74</t>
  </si>
  <si>
    <t xml:space="preserve"> 915±54</t>
  </si>
  <si>
    <t xml:space="preserve"> 2362±76</t>
  </si>
  <si>
    <t>d-α-aminoisobutyric acid</t>
  </si>
  <si>
    <t>1212±31</t>
  </si>
  <si>
    <t>d-valine</t>
  </si>
  <si>
    <t>1216±82</t>
  </si>
  <si>
    <t>2081±42</t>
  </si>
  <si>
    <t>GRA 95229(CR2)</t>
  </si>
  <si>
    <t>866±60</t>
  </si>
  <si>
    <t>1382±226</t>
  </si>
  <si>
    <t>1528±113</t>
  </si>
  <si>
    <t>2286±367</t>
  </si>
  <si>
    <t>4303±1189</t>
  </si>
  <si>
    <t>1920±204</t>
  </si>
  <si>
    <t>l-α-aminoisobutyric acid</t>
  </si>
  <si>
    <t>2099±263</t>
  </si>
  <si>
    <t>2165±307</t>
  </si>
  <si>
    <t>l-valine</t>
  </si>
  <si>
    <t>2086±345</t>
  </si>
  <si>
    <t>3813±253</t>
  </si>
  <si>
    <t>EET93042(CR2)</t>
  </si>
  <si>
    <t>1070±82</t>
  </si>
  <si>
    <t>1693±90</t>
  </si>
  <si>
    <t>1564±80</t>
  </si>
  <si>
    <t>3462±70</t>
  </si>
  <si>
    <t>7065±390</t>
  </si>
  <si>
    <t>2769±557</t>
  </si>
  <si>
    <t>3409±232</t>
  </si>
  <si>
    <t>2018±105</t>
  </si>
  <si>
    <t>3307±283</t>
  </si>
  <si>
    <t>6017±395</t>
  </si>
  <si>
    <t>QUE 99177(CR3)</t>
  </si>
  <si>
    <t>1241±216</t>
  </si>
  <si>
    <t>2204±53</t>
  </si>
  <si>
    <t>2311±493</t>
  </si>
  <si>
    <t>2253±112</t>
  </si>
  <si>
    <t>2791±770</t>
  </si>
  <si>
    <t>1945±59</t>
  </si>
  <si>
    <t>736±39</t>
  </si>
  <si>
    <t>1822±95</t>
  </si>
  <si>
    <t>4956±57</t>
  </si>
  <si>
    <t>PizzarelloandHuang2005</t>
  </si>
  <si>
    <t>Murchison</t>
  </si>
  <si>
    <t>d,l-isovaline</t>
  </si>
  <si>
    <t>Pizzarelloetal.2008</t>
  </si>
  <si>
    <t>GRA 95229</t>
  </si>
  <si>
    <t>l-α-ABA</t>
  </si>
  <si>
    <t>aminoisobutyric acid</t>
  </si>
  <si>
    <t>aponte 2020</t>
  </si>
  <si>
    <t>MIL 090001</t>
  </si>
  <si>
    <t>glycine</t>
  </si>
  <si>
    <t>975±128</t>
  </si>
  <si>
    <t>1526±108</t>
  </si>
  <si>
    <t>2321±101</t>
  </si>
  <si>
    <t>5797±433</t>
  </si>
  <si>
    <t>2835±353</t>
  </si>
  <si>
    <t>429±127</t>
  </si>
  <si>
    <t>360±140</t>
  </si>
  <si>
    <t>d-glutamic a</t>
  </si>
  <si>
    <t>473±50</t>
  </si>
  <si>
    <t>l-glutamic a</t>
  </si>
  <si>
    <t>292±73</t>
  </si>
  <si>
    <t>Murray</t>
  </si>
  <si>
    <t>399±17</t>
  </si>
  <si>
    <t>614±61</t>
  </si>
  <si>
    <t>510±53</t>
  </si>
  <si>
    <t>2432±11</t>
  </si>
  <si>
    <t>2266±101</t>
  </si>
  <si>
    <t>l-isoleucine</t>
  </si>
  <si>
    <t>1819±27</t>
  </si>
  <si>
    <t>1063±47</t>
  </si>
  <si>
    <t>Glycine</t>
    <phoneticPr fontId="2" type="noConversion"/>
  </si>
  <si>
    <t>sample</t>
    <phoneticPr fontId="2" type="noConversion"/>
  </si>
  <si>
    <t>aminoacid</t>
    <phoneticPr fontId="2" type="noConversion"/>
  </si>
  <si>
    <t>deltaD</t>
    <phoneticPr fontId="2" type="noConversion"/>
  </si>
  <si>
    <t>deltaD_value</t>
    <phoneticPr fontId="2" type="noConversion"/>
  </si>
  <si>
    <t>alpha</t>
    <phoneticPr fontId="2" type="noConversion"/>
  </si>
  <si>
    <t>Rwater_value</t>
    <phoneticPr fontId="2" type="noConversion"/>
  </si>
  <si>
    <t>Rwater_sigma</t>
    <phoneticPr fontId="2" type="noConversion"/>
  </si>
  <si>
    <t>Rstander</t>
    <phoneticPr fontId="2" type="noConversion"/>
  </si>
  <si>
    <t>deltaD_sigma</t>
    <phoneticPr fontId="2" type="noConversion"/>
  </si>
  <si>
    <t>R0</t>
    <phoneticPr fontId="2" type="noConversion"/>
  </si>
  <si>
    <t>1000lnalpha</t>
    <phoneticPr fontId="2" type="noConversion"/>
  </si>
  <si>
    <t>Rstd</t>
    <phoneticPr fontId="2" type="noConversion"/>
  </si>
  <si>
    <t>1000ln(alpha_H)</t>
    <phoneticPr fontId="2" type="noConversion"/>
  </si>
  <si>
    <t>alpha_H</t>
    <phoneticPr fontId="2" type="noConversion"/>
  </si>
  <si>
    <t>Rog_sigma</t>
    <phoneticPr fontId="2" type="noConversion"/>
  </si>
  <si>
    <t>Rog_value</t>
    <phoneticPr fontId="2" type="noConversion"/>
  </si>
  <si>
    <t>Delatog_value</t>
    <phoneticPr fontId="2" type="noConversion"/>
  </si>
  <si>
    <t>deltaog_sigma</t>
    <phoneticPr fontId="2" type="noConversion"/>
  </si>
  <si>
    <t>1000ln(alpha_average)</t>
    <phoneticPr fontId="2" type="noConversion"/>
  </si>
  <si>
    <t>alpha_average</t>
    <phoneticPr fontId="2" type="noConversion"/>
  </si>
  <si>
    <t>alpha_rest</t>
    <phoneticPr fontId="2" type="noConversion"/>
  </si>
  <si>
    <t>Rwater1_value</t>
    <phoneticPr fontId="2" type="noConversion"/>
  </si>
  <si>
    <t>Rwater1_sigma</t>
    <phoneticPr fontId="2" type="noConversion"/>
  </si>
  <si>
    <t>CM2</t>
  </si>
  <si>
    <t>CM2</t>
    <phoneticPr fontId="2" type="noConversion"/>
  </si>
  <si>
    <t>CR2</t>
  </si>
  <si>
    <t>CM1/2</t>
    <phoneticPr fontId="2" type="noConversion"/>
  </si>
  <si>
    <t>CR2</t>
    <phoneticPr fontId="2" type="noConversion"/>
  </si>
  <si>
    <t>CR3</t>
  </si>
  <si>
    <t>CR3</t>
    <phoneticPr fontId="2" type="noConversion"/>
  </si>
  <si>
    <t>GRA 95229</t>
    <phoneticPr fontId="2" type="noConversion"/>
  </si>
  <si>
    <t>MIL 090001</t>
    <phoneticPr fontId="2" type="noConversion"/>
  </si>
  <si>
    <t>CV</t>
    <phoneticPr fontId="2" type="noConversion"/>
  </si>
  <si>
    <t>Murray</t>
    <phoneticPr fontId="2" type="noConversion"/>
  </si>
  <si>
    <t>储库</t>
    <phoneticPr fontId="2" type="noConversion"/>
  </si>
  <si>
    <t>论文来源</t>
    <phoneticPr fontId="2" type="noConversion"/>
  </si>
  <si>
    <t>δD上限</t>
    <phoneticPr fontId="2" type="noConversion"/>
  </si>
  <si>
    <t>δD下限</t>
    <phoneticPr fontId="2" type="noConversion"/>
  </si>
  <si>
    <t>原太阳星云</t>
    <phoneticPr fontId="2" type="noConversion"/>
  </si>
  <si>
    <t>Geiss &amp; Gloeckler 1998; Lellouch et al</t>
  </si>
  <si>
    <t>常见碳质球粒陨石中的水</t>
    <phoneticPr fontId="2" type="noConversion"/>
  </si>
  <si>
    <t>Robert et al. 2000; Hallis 2017</t>
  </si>
  <si>
    <t>星际有机前体（CH₃, NH₂）</t>
  </si>
  <si>
    <t>冷分子云水冰（H₂O ice）</t>
  </si>
  <si>
    <t>Aikawa et al. 2012; Taquet et al. 2014）</t>
  </si>
  <si>
    <t>彗星有机物</t>
    <phoneticPr fontId="2" type="noConversion"/>
  </si>
  <si>
    <t>Bockelée-Morvan et al. 2015; Lis et al. 2019</t>
  </si>
  <si>
    <r>
      <t xml:space="preserve"> </t>
    </r>
    <r>
      <rPr>
        <sz val="10"/>
        <color theme="1"/>
        <rFont val="Calibri"/>
        <family val="2"/>
        <charset val="161"/>
      </rPr>
      <t>γ</t>
    </r>
    <r>
      <rPr>
        <sz val="10"/>
        <color theme="1"/>
        <rFont val="宋体"/>
        <family val="2"/>
        <charset val="134"/>
        <scheme val="minor"/>
      </rPr>
      <t>-aminobutyric acid</t>
    </r>
    <phoneticPr fontId="2" type="noConversion"/>
  </si>
  <si>
    <t>categories（aminoacid）</t>
    <phoneticPr fontId="2" type="noConversion"/>
  </si>
  <si>
    <t>categories（meteorites）</t>
    <phoneticPr fontId="2" type="noConversion"/>
  </si>
  <si>
    <t>categories（sample）</t>
    <phoneticPr fontId="2" type="noConversion"/>
  </si>
  <si>
    <t>R_value</t>
    <phoneticPr fontId="2" type="noConversion"/>
  </si>
  <si>
    <t>R_sigma</t>
    <phoneticPr fontId="2" type="noConversion"/>
  </si>
  <si>
    <t>ALH 83100</t>
    <phoneticPr fontId="2" type="noConversion"/>
  </si>
  <si>
    <t>Murchison</t>
    <phoneticPr fontId="2" type="noConversion"/>
  </si>
  <si>
    <t>LON 94101</t>
    <phoneticPr fontId="2" type="noConversion"/>
  </si>
  <si>
    <t>QUE 99177</t>
    <phoneticPr fontId="2" type="noConversion"/>
  </si>
  <si>
    <t>EET 93042</t>
    <phoneticPr fontId="2" type="noConversion"/>
  </si>
  <si>
    <t>列1</t>
  </si>
  <si>
    <t>aponte 2020</t>
    <phoneticPr fontId="2" type="noConversion"/>
  </si>
  <si>
    <t>EET 92042</t>
    <phoneticPr fontId="2" type="noConversion"/>
  </si>
  <si>
    <t>e</t>
    <phoneticPr fontId="2" type="noConversion"/>
  </si>
  <si>
    <t>修正幅度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</si>
</sst>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宋体"/>
      <family val="2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rgb="FFFF0000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rgb="FF474747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0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 diagonalUp="1">
      <left/>
      <right/>
      <top/>
      <bottom/>
      <diagonal style="thin">
        <color theme="2"/>
      </diagonal>
    </border>
    <border diagonalUp="1">
      <left/>
      <right style="thin">
        <color theme="2"/>
      </right>
      <top style="thin">
        <color theme="2"/>
      </top>
      <bottom/>
      <diagonal style="thin">
        <color theme="2"/>
      </diagonal>
    </border>
    <border diagonalUp="1">
      <left/>
      <right style="thin">
        <color theme="2"/>
      </right>
      <top/>
      <bottom style="thin">
        <color theme="2"/>
      </bottom>
      <diagonal style="thin">
        <color theme="2"/>
      </diagonal>
    </border>
    <border diagonalUp="1">
      <left style="thin">
        <color theme="2"/>
      </left>
      <right/>
      <top/>
      <bottom/>
      <diagonal style="thin">
        <color theme="2"/>
      </diagonal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vertical="center" textRotation="45"/>
    </xf>
    <xf numFmtId="0" fontId="0" fillId="0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 applyFill="1" applyBorder="1">
      <alignment vertical="center"/>
    </xf>
    <xf numFmtId="11" fontId="8" fillId="0" borderId="0" xfId="0" applyNumberFormat="1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5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5" xfId="0" applyFont="1" applyFill="1" applyBorder="1">
      <alignment vertical="center"/>
    </xf>
    <xf numFmtId="0" fontId="0" fillId="0" borderId="3" xfId="0" applyFont="1" applyFill="1" applyBorder="1">
      <alignment vertical="center"/>
    </xf>
    <xf numFmtId="0" fontId="0" fillId="0" borderId="1" xfId="0" applyFill="1" applyBorder="1">
      <alignment vertical="center"/>
    </xf>
    <xf numFmtId="0" fontId="4" fillId="0" borderId="0" xfId="0" applyFont="1" applyFill="1">
      <alignment vertical="center"/>
    </xf>
    <xf numFmtId="0" fontId="0" fillId="0" borderId="2" xfId="0" applyFont="1" applyFill="1" applyBorder="1">
      <alignment vertical="center"/>
    </xf>
    <xf numFmtId="0" fontId="7" fillId="0" borderId="0" xfId="0" applyFont="1" applyFill="1" applyBorder="1">
      <alignment vertical="center"/>
    </xf>
    <xf numFmtId="11" fontId="7" fillId="0" borderId="0" xfId="0" applyNumberFormat="1" applyFont="1" applyFill="1" applyBorder="1">
      <alignment vertical="center"/>
    </xf>
    <xf numFmtId="11" fontId="0" fillId="0" borderId="0" xfId="0" applyNumberFormat="1" applyFont="1" applyFill="1" applyBorder="1">
      <alignment vertical="center"/>
    </xf>
    <xf numFmtId="0" fontId="0" fillId="0" borderId="4" xfId="0" applyFill="1" applyBorder="1">
      <alignment vertical="center"/>
    </xf>
    <xf numFmtId="0" fontId="0" fillId="2" borderId="0" xfId="0" applyFont="1" applyFill="1" applyBorder="1">
      <alignment vertical="center"/>
    </xf>
    <xf numFmtId="0" fontId="7" fillId="2" borderId="0" xfId="0" applyFont="1" applyFill="1" applyBorder="1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1" fontId="0" fillId="0" borderId="0" xfId="0" applyNumberFormat="1" applyFill="1">
      <alignment vertical="center"/>
    </xf>
  </cellXfs>
  <cellStyles count="1">
    <cellStyle name="常规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minor"/>
      </font>
      <numFmt numFmtId="15" formatCode="0.00E+00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2EB6F02-80B3-4FA1-8A1B-D587BF88863D}" autoFormatId="16" applyNumberFormats="0" applyBorderFormats="0" applyFontFormats="0" applyPatternFormats="0" applyAlignmentFormats="0" applyWidthHeightFormats="0">
  <queryTableRefresh nextId="2">
    <queryTableFields count="1">
      <queryTableField id="1" name="列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C6B1EB-A64D-41BD-97DA-323F1246A420}" name="表4_" displayName="表4_" ref="A1:A11" tableType="queryTable" totalsRowShown="0">
  <autoFilter ref="A1:A11" xr:uid="{CBC6B1EB-A64D-41BD-97DA-323F1246A420}"/>
  <tableColumns count="1">
    <tableColumn id="1" xr3:uid="{883513BA-A521-4CF6-9CA2-19CC836A68D3}" uniqueName="1" name="列1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7752E7-07C7-442B-9E7F-EF4C1991B2EA}" name="表2" displayName="表2" ref="E2:E12" totalsRowShown="0" headerRowDxfId="5" dataDxfId="4">
  <autoFilter ref="E2:E12" xr:uid="{F37752E7-07C7-442B-9E7F-EF4C1991B2EA}"/>
  <tableColumns count="1">
    <tableColumn id="1" xr3:uid="{00B6A0DF-9422-416E-9A9C-8EE5DC9C8777}" name="列1" dataDxfId="3">
      <calculatedColumnFormula>(G2*(1+A2/1000)/D2)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1C1EB7-E17B-49B2-B3A7-FE8FDF50C046}" name="表4" displayName="表4" ref="F2:F12" totalsRowShown="0" headerRowDxfId="2" dataDxfId="1">
  <autoFilter ref="F2:F12" xr:uid="{EA1C1EB7-E17B-49B2-B3A7-FE8FDF50C046}"/>
  <tableColumns count="1">
    <tableColumn id="1" xr3:uid="{4DD761BB-15CA-44C8-A1AF-5902402210A2}" name="列1" dataDxfId="0">
      <calculatedColumnFormula>(G2*B2/(1000*D2))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opLeftCell="A52" zoomScale="55" zoomScaleNormal="55" workbookViewId="0">
      <selection activeCell="A44" sqref="A44"/>
    </sheetView>
  </sheetViews>
  <sheetFormatPr defaultColWidth="13.7109375" defaultRowHeight="18" customHeight="1" x14ac:dyDescent="0.3"/>
  <cols>
    <col min="1" max="1" width="9.92578125" customWidth="1"/>
    <col min="2" max="2" width="17.78515625" customWidth="1"/>
    <col min="3" max="3" width="23.0703125" customWidth="1"/>
  </cols>
  <sheetData>
    <row r="1" spans="1:9" x14ac:dyDescent="0.3">
      <c r="A1" s="1" t="s">
        <v>0</v>
      </c>
      <c r="B1" s="5" t="s">
        <v>98</v>
      </c>
      <c r="C1" s="5" t="s">
        <v>99</v>
      </c>
      <c r="D1" s="6" t="s">
        <v>100</v>
      </c>
      <c r="E1" s="1" t="s">
        <v>1</v>
      </c>
      <c r="F1" s="5" t="s">
        <v>101</v>
      </c>
      <c r="G1" s="5" t="s">
        <v>106</v>
      </c>
      <c r="H1" s="5" t="s">
        <v>102</v>
      </c>
      <c r="I1" s="5" t="s">
        <v>107</v>
      </c>
    </row>
    <row r="2" spans="1:9" x14ac:dyDescent="0.3">
      <c r="A2" t="s">
        <v>2</v>
      </c>
      <c r="B2" t="s">
        <v>3</v>
      </c>
      <c r="C2" s="3" t="s">
        <v>4</v>
      </c>
      <c r="D2" t="s">
        <v>5</v>
      </c>
      <c r="E2" t="s">
        <v>6</v>
      </c>
    </row>
    <row r="3" spans="1:9" x14ac:dyDescent="0.3">
      <c r="A3" t="s">
        <v>2</v>
      </c>
      <c r="B3" t="s">
        <v>3</v>
      </c>
      <c r="C3" t="s">
        <v>7</v>
      </c>
      <c r="D3" t="s">
        <v>8</v>
      </c>
      <c r="E3" t="s">
        <v>6</v>
      </c>
    </row>
    <row r="4" spans="1:9" x14ac:dyDescent="0.3">
      <c r="A4" t="s">
        <v>2</v>
      </c>
      <c r="B4" t="s">
        <v>3</v>
      </c>
      <c r="C4" t="s">
        <v>9</v>
      </c>
      <c r="D4" t="s">
        <v>10</v>
      </c>
      <c r="E4" t="s">
        <v>6</v>
      </c>
    </row>
    <row r="5" spans="1:9" x14ac:dyDescent="0.3">
      <c r="A5" t="s">
        <v>2</v>
      </c>
      <c r="B5" t="s">
        <v>11</v>
      </c>
      <c r="C5" s="3" t="s">
        <v>4</v>
      </c>
      <c r="D5" t="s">
        <v>12</v>
      </c>
      <c r="E5" t="s">
        <v>6</v>
      </c>
    </row>
    <row r="6" spans="1:9" x14ac:dyDescent="0.3">
      <c r="A6" t="s">
        <v>2</v>
      </c>
      <c r="B6" t="s">
        <v>11</v>
      </c>
      <c r="C6" t="s">
        <v>13</v>
      </c>
      <c r="D6" t="s">
        <v>14</v>
      </c>
      <c r="E6" t="s">
        <v>6</v>
      </c>
    </row>
    <row r="7" spans="1:9" x14ac:dyDescent="0.3">
      <c r="A7" t="s">
        <v>2</v>
      </c>
      <c r="B7" t="s">
        <v>11</v>
      </c>
      <c r="C7" t="s">
        <v>7</v>
      </c>
      <c r="D7" t="s">
        <v>15</v>
      </c>
      <c r="E7" t="s">
        <v>6</v>
      </c>
    </row>
    <row r="8" spans="1:9" x14ac:dyDescent="0.3">
      <c r="A8" t="s">
        <v>2</v>
      </c>
      <c r="B8" t="s">
        <v>11</v>
      </c>
      <c r="C8" t="s">
        <v>16</v>
      </c>
      <c r="D8" t="s">
        <v>17</v>
      </c>
      <c r="E8" t="s">
        <v>6</v>
      </c>
    </row>
    <row r="9" spans="1:9" x14ac:dyDescent="0.3">
      <c r="A9" t="s">
        <v>2</v>
      </c>
      <c r="B9" t="s">
        <v>18</v>
      </c>
      <c r="C9" s="4" t="s">
        <v>97</v>
      </c>
      <c r="D9" t="s">
        <v>19</v>
      </c>
      <c r="E9" t="s">
        <v>6</v>
      </c>
    </row>
    <row r="10" spans="1:9" x14ac:dyDescent="0.3">
      <c r="A10" t="s">
        <v>2</v>
      </c>
      <c r="B10" t="s">
        <v>20</v>
      </c>
      <c r="C10" s="4" t="s">
        <v>4</v>
      </c>
      <c r="D10" t="s">
        <v>21</v>
      </c>
      <c r="E10" t="s">
        <v>6</v>
      </c>
    </row>
    <row r="11" spans="1:9" x14ac:dyDescent="0.3">
      <c r="A11" t="s">
        <v>2</v>
      </c>
      <c r="B11" t="s">
        <v>20</v>
      </c>
      <c r="C11" t="s">
        <v>22</v>
      </c>
      <c r="D11" t="s">
        <v>23</v>
      </c>
      <c r="E11" t="s">
        <v>6</v>
      </c>
    </row>
    <row r="12" spans="1:9" x14ac:dyDescent="0.3">
      <c r="A12" t="s">
        <v>2</v>
      </c>
      <c r="B12" t="s">
        <v>20</v>
      </c>
      <c r="C12" t="s">
        <v>24</v>
      </c>
      <c r="D12" t="s">
        <v>25</v>
      </c>
      <c r="E12" t="s">
        <v>6</v>
      </c>
    </row>
    <row r="13" spans="1:9" x14ac:dyDescent="0.3">
      <c r="A13" t="s">
        <v>2</v>
      </c>
      <c r="B13" t="s">
        <v>20</v>
      </c>
      <c r="C13" t="s">
        <v>13</v>
      </c>
      <c r="D13" t="s">
        <v>26</v>
      </c>
      <c r="E13" t="s">
        <v>6</v>
      </c>
    </row>
    <row r="14" spans="1:9" x14ac:dyDescent="0.3">
      <c r="A14" t="s">
        <v>2</v>
      </c>
      <c r="B14" t="s">
        <v>20</v>
      </c>
      <c r="C14" t="s">
        <v>7</v>
      </c>
      <c r="D14" t="s">
        <v>27</v>
      </c>
      <c r="E14" t="s">
        <v>6</v>
      </c>
    </row>
    <row r="15" spans="1:9" x14ac:dyDescent="0.3">
      <c r="A15" t="s">
        <v>2</v>
      </c>
      <c r="B15" t="s">
        <v>20</v>
      </c>
      <c r="C15" t="s">
        <v>28</v>
      </c>
      <c r="D15" t="s">
        <v>29</v>
      </c>
      <c r="E15" t="s">
        <v>6</v>
      </c>
    </row>
    <row r="16" spans="1:9" x14ac:dyDescent="0.3">
      <c r="A16" t="s">
        <v>2</v>
      </c>
      <c r="B16" t="s">
        <v>20</v>
      </c>
      <c r="C16" t="s">
        <v>30</v>
      </c>
      <c r="D16" t="s">
        <v>31</v>
      </c>
      <c r="E16" t="s">
        <v>6</v>
      </c>
    </row>
    <row r="17" spans="1:5" x14ac:dyDescent="0.3">
      <c r="A17" t="s">
        <v>2</v>
      </c>
      <c r="B17" t="s">
        <v>20</v>
      </c>
      <c r="C17" t="s">
        <v>16</v>
      </c>
      <c r="D17" t="s">
        <v>32</v>
      </c>
      <c r="E17" t="s">
        <v>6</v>
      </c>
    </row>
    <row r="18" spans="1:5" x14ac:dyDescent="0.3">
      <c r="A18" t="s">
        <v>2</v>
      </c>
      <c r="B18" t="s">
        <v>33</v>
      </c>
      <c r="C18" s="4" t="s">
        <v>4</v>
      </c>
      <c r="D18" t="s">
        <v>34</v>
      </c>
      <c r="E18" t="s">
        <v>6</v>
      </c>
    </row>
    <row r="19" spans="1:5" x14ac:dyDescent="0.3">
      <c r="A19" t="s">
        <v>2</v>
      </c>
      <c r="B19" t="s">
        <v>33</v>
      </c>
      <c r="C19" t="s">
        <v>22</v>
      </c>
      <c r="D19" t="s">
        <v>35</v>
      </c>
      <c r="E19" t="s">
        <v>6</v>
      </c>
    </row>
    <row r="20" spans="1:5" x14ac:dyDescent="0.3">
      <c r="A20" t="s">
        <v>2</v>
      </c>
      <c r="B20" t="s">
        <v>33</v>
      </c>
      <c r="C20" t="s">
        <v>24</v>
      </c>
      <c r="D20" t="s">
        <v>36</v>
      </c>
      <c r="E20" t="s">
        <v>6</v>
      </c>
    </row>
    <row r="21" spans="1:5" x14ac:dyDescent="0.3">
      <c r="A21" t="s">
        <v>2</v>
      </c>
      <c r="B21" t="s">
        <v>33</v>
      </c>
      <c r="C21" t="s">
        <v>13</v>
      </c>
      <c r="D21" t="s">
        <v>37</v>
      </c>
      <c r="E21" t="s">
        <v>6</v>
      </c>
    </row>
    <row r="22" spans="1:5" x14ac:dyDescent="0.3">
      <c r="A22" t="s">
        <v>2</v>
      </c>
      <c r="B22" t="s">
        <v>33</v>
      </c>
      <c r="C22" t="s">
        <v>7</v>
      </c>
      <c r="D22" t="s">
        <v>38</v>
      </c>
      <c r="E22" t="s">
        <v>6</v>
      </c>
    </row>
    <row r="23" spans="1:5" x14ac:dyDescent="0.3">
      <c r="A23" t="s">
        <v>2</v>
      </c>
      <c r="B23" t="s">
        <v>33</v>
      </c>
      <c r="C23" t="s">
        <v>28</v>
      </c>
      <c r="D23" t="s">
        <v>39</v>
      </c>
      <c r="E23" t="s">
        <v>6</v>
      </c>
    </row>
    <row r="24" spans="1:5" x14ac:dyDescent="0.3">
      <c r="A24" t="s">
        <v>2</v>
      </c>
      <c r="B24" t="s">
        <v>33</v>
      </c>
      <c r="C24" t="s">
        <v>40</v>
      </c>
      <c r="D24" t="s">
        <v>41</v>
      </c>
      <c r="E24" t="s">
        <v>6</v>
      </c>
    </row>
    <row r="25" spans="1:5" x14ac:dyDescent="0.3">
      <c r="A25" t="s">
        <v>2</v>
      </c>
      <c r="B25" t="s">
        <v>33</v>
      </c>
      <c r="C25" t="s">
        <v>30</v>
      </c>
      <c r="D25" t="s">
        <v>42</v>
      </c>
      <c r="E25" t="s">
        <v>6</v>
      </c>
    </row>
    <row r="26" spans="1:5" x14ac:dyDescent="0.3">
      <c r="A26" t="s">
        <v>2</v>
      </c>
      <c r="B26" t="s">
        <v>33</v>
      </c>
      <c r="C26" t="s">
        <v>43</v>
      </c>
      <c r="D26" t="s">
        <v>44</v>
      </c>
      <c r="E26" t="s">
        <v>6</v>
      </c>
    </row>
    <row r="27" spans="1:5" x14ac:dyDescent="0.3">
      <c r="A27" t="s">
        <v>2</v>
      </c>
      <c r="B27" t="s">
        <v>33</v>
      </c>
      <c r="C27" t="s">
        <v>16</v>
      </c>
      <c r="D27" t="s">
        <v>45</v>
      </c>
      <c r="E27" t="s">
        <v>6</v>
      </c>
    </row>
    <row r="28" spans="1:5" x14ac:dyDescent="0.3">
      <c r="A28" t="s">
        <v>2</v>
      </c>
      <c r="B28" t="s">
        <v>46</v>
      </c>
      <c r="C28" s="4" t="s">
        <v>4</v>
      </c>
      <c r="D28" t="s">
        <v>47</v>
      </c>
      <c r="E28" t="s">
        <v>6</v>
      </c>
    </row>
    <row r="29" spans="1:5" x14ac:dyDescent="0.3">
      <c r="A29" t="s">
        <v>2</v>
      </c>
      <c r="B29" t="s">
        <v>46</v>
      </c>
      <c r="C29" t="s">
        <v>22</v>
      </c>
      <c r="D29" t="s">
        <v>48</v>
      </c>
      <c r="E29" t="s">
        <v>6</v>
      </c>
    </row>
    <row r="30" spans="1:5" x14ac:dyDescent="0.3">
      <c r="A30" t="s">
        <v>2</v>
      </c>
      <c r="B30" t="s">
        <v>46</v>
      </c>
      <c r="C30" t="s">
        <v>24</v>
      </c>
      <c r="D30" t="s">
        <v>49</v>
      </c>
      <c r="E30" t="s">
        <v>6</v>
      </c>
    </row>
    <row r="31" spans="1:5" x14ac:dyDescent="0.3">
      <c r="A31" t="s">
        <v>2</v>
      </c>
      <c r="B31" t="s">
        <v>46</v>
      </c>
      <c r="C31" t="s">
        <v>13</v>
      </c>
      <c r="D31" t="s">
        <v>50</v>
      </c>
      <c r="E31" t="s">
        <v>6</v>
      </c>
    </row>
    <row r="32" spans="1:5" x14ac:dyDescent="0.3">
      <c r="A32" t="s">
        <v>2</v>
      </c>
      <c r="B32" t="s">
        <v>46</v>
      </c>
      <c r="C32" t="s">
        <v>7</v>
      </c>
      <c r="D32" t="s">
        <v>51</v>
      </c>
      <c r="E32" t="s">
        <v>6</v>
      </c>
    </row>
    <row r="33" spans="1:7" x14ac:dyDescent="0.3">
      <c r="A33" t="s">
        <v>2</v>
      </c>
      <c r="B33" t="s">
        <v>46</v>
      </c>
      <c r="C33" t="s">
        <v>28</v>
      </c>
      <c r="D33" t="s">
        <v>52</v>
      </c>
      <c r="E33" t="s">
        <v>6</v>
      </c>
    </row>
    <row r="34" spans="1:7" x14ac:dyDescent="0.3">
      <c r="A34" t="s">
        <v>2</v>
      </c>
      <c r="B34" t="s">
        <v>46</v>
      </c>
      <c r="C34" t="s">
        <v>40</v>
      </c>
      <c r="D34" t="s">
        <v>53</v>
      </c>
      <c r="E34" t="s">
        <v>6</v>
      </c>
    </row>
    <row r="35" spans="1:7" x14ac:dyDescent="0.3">
      <c r="A35" t="s">
        <v>2</v>
      </c>
      <c r="B35" t="s">
        <v>46</v>
      </c>
      <c r="C35" t="s">
        <v>30</v>
      </c>
      <c r="D35" t="s">
        <v>54</v>
      </c>
      <c r="E35" t="s">
        <v>6</v>
      </c>
    </row>
    <row r="36" spans="1:7" x14ac:dyDescent="0.3">
      <c r="A36" t="s">
        <v>2</v>
      </c>
      <c r="B36" t="s">
        <v>46</v>
      </c>
      <c r="C36" t="s">
        <v>43</v>
      </c>
      <c r="D36" t="s">
        <v>55</v>
      </c>
      <c r="E36" t="s">
        <v>6</v>
      </c>
    </row>
    <row r="37" spans="1:7" x14ac:dyDescent="0.3">
      <c r="A37" t="s">
        <v>2</v>
      </c>
      <c r="B37" t="s">
        <v>46</v>
      </c>
      <c r="C37" t="s">
        <v>16</v>
      </c>
      <c r="D37" t="s">
        <v>56</v>
      </c>
      <c r="E37" t="s">
        <v>6</v>
      </c>
    </row>
    <row r="38" spans="1:7" x14ac:dyDescent="0.3">
      <c r="A38" t="s">
        <v>2</v>
      </c>
      <c r="B38" t="s">
        <v>57</v>
      </c>
      <c r="C38" s="4" t="s">
        <v>4</v>
      </c>
      <c r="D38" t="s">
        <v>58</v>
      </c>
      <c r="E38" t="s">
        <v>6</v>
      </c>
      <c r="G38">
        <v>7</v>
      </c>
    </row>
    <row r="39" spans="1:7" x14ac:dyDescent="0.3">
      <c r="A39" t="s">
        <v>2</v>
      </c>
      <c r="B39" t="s">
        <v>57</v>
      </c>
      <c r="C39" t="s">
        <v>22</v>
      </c>
      <c r="D39" t="s">
        <v>59</v>
      </c>
      <c r="E39" t="s">
        <v>6</v>
      </c>
    </row>
    <row r="40" spans="1:7" x14ac:dyDescent="0.3">
      <c r="A40" t="s">
        <v>2</v>
      </c>
      <c r="B40" t="s">
        <v>57</v>
      </c>
      <c r="C40" t="s">
        <v>24</v>
      </c>
      <c r="D40" t="s">
        <v>60</v>
      </c>
      <c r="E40" t="s">
        <v>6</v>
      </c>
    </row>
    <row r="41" spans="1:7" x14ac:dyDescent="0.3">
      <c r="A41" t="s">
        <v>2</v>
      </c>
      <c r="B41" t="s">
        <v>57</v>
      </c>
      <c r="C41" t="s">
        <v>13</v>
      </c>
      <c r="D41" t="s">
        <v>61</v>
      </c>
      <c r="E41" t="s">
        <v>6</v>
      </c>
    </row>
    <row r="42" spans="1:7" x14ac:dyDescent="0.3">
      <c r="A42" t="s">
        <v>2</v>
      </c>
      <c r="B42" t="s">
        <v>57</v>
      </c>
      <c r="C42" t="s">
        <v>7</v>
      </c>
      <c r="D42" t="s">
        <v>62</v>
      </c>
      <c r="E42" t="s">
        <v>6</v>
      </c>
    </row>
    <row r="43" spans="1:7" x14ac:dyDescent="0.3">
      <c r="A43" t="s">
        <v>2</v>
      </c>
      <c r="B43" t="s">
        <v>57</v>
      </c>
      <c r="C43" t="s">
        <v>40</v>
      </c>
      <c r="D43" t="s">
        <v>63</v>
      </c>
      <c r="E43" t="s">
        <v>6</v>
      </c>
    </row>
    <row r="44" spans="1:7" x14ac:dyDescent="0.3">
      <c r="A44" t="s">
        <v>2</v>
      </c>
      <c r="B44" t="s">
        <v>57</v>
      </c>
      <c r="C44" t="s">
        <v>30</v>
      </c>
      <c r="D44" t="s">
        <v>64</v>
      </c>
      <c r="E44" t="s">
        <v>6</v>
      </c>
    </row>
    <row r="45" spans="1:7" x14ac:dyDescent="0.3">
      <c r="A45" t="s">
        <v>2</v>
      </c>
      <c r="B45" t="s">
        <v>57</v>
      </c>
      <c r="C45" t="s">
        <v>43</v>
      </c>
      <c r="D45" t="s">
        <v>65</v>
      </c>
      <c r="E45" t="s">
        <v>6</v>
      </c>
    </row>
    <row r="46" spans="1:7" x14ac:dyDescent="0.3">
      <c r="A46" t="s">
        <v>2</v>
      </c>
      <c r="B46" t="s">
        <v>57</v>
      </c>
      <c r="C46" t="s">
        <v>16</v>
      </c>
      <c r="D46" t="s">
        <v>66</v>
      </c>
      <c r="E46" t="s">
        <v>6</v>
      </c>
    </row>
    <row r="47" spans="1:7" x14ac:dyDescent="0.3">
      <c r="A47" t="s">
        <v>67</v>
      </c>
      <c r="B47" t="s">
        <v>68</v>
      </c>
      <c r="C47" t="s">
        <v>13</v>
      </c>
      <c r="D47" s="2">
        <v>429</v>
      </c>
    </row>
    <row r="48" spans="1:7" x14ac:dyDescent="0.3">
      <c r="A48" t="s">
        <v>67</v>
      </c>
      <c r="B48" t="s">
        <v>68</v>
      </c>
      <c r="C48" t="s">
        <v>7</v>
      </c>
      <c r="D48" s="2">
        <v>3058</v>
      </c>
    </row>
    <row r="49" spans="1:4" x14ac:dyDescent="0.3">
      <c r="A49" t="s">
        <v>67</v>
      </c>
      <c r="B49" t="s">
        <v>68</v>
      </c>
      <c r="C49" t="s">
        <v>69</v>
      </c>
      <c r="D49" s="2">
        <v>3419</v>
      </c>
    </row>
    <row r="50" spans="1:4" x14ac:dyDescent="0.3">
      <c r="A50" t="s">
        <v>70</v>
      </c>
      <c r="B50" t="s">
        <v>71</v>
      </c>
      <c r="C50" s="4" t="s">
        <v>4</v>
      </c>
      <c r="D50" s="2">
        <v>868</v>
      </c>
    </row>
    <row r="51" spans="1:4" x14ac:dyDescent="0.3">
      <c r="A51" t="s">
        <v>70</v>
      </c>
      <c r="B51" t="s">
        <v>71</v>
      </c>
      <c r="C51" t="s">
        <v>22</v>
      </c>
      <c r="D51" s="2">
        <v>1182</v>
      </c>
    </row>
    <row r="52" spans="1:4" x14ac:dyDescent="0.3">
      <c r="A52" t="s">
        <v>70</v>
      </c>
      <c r="B52" t="s">
        <v>71</v>
      </c>
      <c r="C52" t="s">
        <v>24</v>
      </c>
      <c r="D52" s="2">
        <v>1159</v>
      </c>
    </row>
    <row r="53" spans="1:4" x14ac:dyDescent="0.3">
      <c r="A53" t="s">
        <v>70</v>
      </c>
      <c r="B53" t="s">
        <v>71</v>
      </c>
      <c r="C53" t="s">
        <v>72</v>
      </c>
      <c r="D53" s="2">
        <v>2890</v>
      </c>
    </row>
    <row r="54" spans="1:4" x14ac:dyDescent="0.3">
      <c r="A54" t="s">
        <v>70</v>
      </c>
      <c r="B54" t="s">
        <v>71</v>
      </c>
      <c r="C54" t="s">
        <v>73</v>
      </c>
      <c r="D54" s="2">
        <v>7245</v>
      </c>
    </row>
    <row r="55" spans="1:4" x14ac:dyDescent="0.3">
      <c r="A55" t="s">
        <v>70</v>
      </c>
      <c r="B55" t="s">
        <v>71</v>
      </c>
      <c r="C55" t="s">
        <v>69</v>
      </c>
      <c r="D55" s="2">
        <v>5807</v>
      </c>
    </row>
    <row r="56" spans="1:4" x14ac:dyDescent="0.3">
      <c r="A56" t="s">
        <v>74</v>
      </c>
      <c r="B56" t="s">
        <v>75</v>
      </c>
      <c r="C56" s="4" t="s">
        <v>76</v>
      </c>
      <c r="D56" s="2" t="s">
        <v>77</v>
      </c>
    </row>
    <row r="57" spans="1:4" x14ac:dyDescent="0.3">
      <c r="A57" t="s">
        <v>157</v>
      </c>
      <c r="B57" t="s">
        <v>75</v>
      </c>
      <c r="C57" t="s">
        <v>22</v>
      </c>
      <c r="D57" s="2" t="s">
        <v>78</v>
      </c>
    </row>
    <row r="58" spans="1:4" x14ac:dyDescent="0.3">
      <c r="A58" t="s">
        <v>74</v>
      </c>
      <c r="B58" t="s">
        <v>75</v>
      </c>
      <c r="C58" t="s">
        <v>24</v>
      </c>
      <c r="D58" s="2" t="s">
        <v>79</v>
      </c>
    </row>
    <row r="59" spans="1:4" x14ac:dyDescent="0.3">
      <c r="A59" t="s">
        <v>74</v>
      </c>
      <c r="B59" t="s">
        <v>75</v>
      </c>
      <c r="C59" t="s">
        <v>7</v>
      </c>
      <c r="D59" s="2" t="s">
        <v>80</v>
      </c>
    </row>
    <row r="60" spans="1:4" x14ac:dyDescent="0.3">
      <c r="A60" t="s">
        <v>74</v>
      </c>
      <c r="B60" t="s">
        <v>75</v>
      </c>
      <c r="C60" t="s">
        <v>13</v>
      </c>
      <c r="D60" s="2" t="s">
        <v>81</v>
      </c>
    </row>
    <row r="61" spans="1:4" x14ac:dyDescent="0.3">
      <c r="A61" t="s">
        <v>67</v>
      </c>
      <c r="B61" t="s">
        <v>68</v>
      </c>
      <c r="C61" t="s">
        <v>22</v>
      </c>
      <c r="D61" s="2" t="s">
        <v>82</v>
      </c>
    </row>
    <row r="62" spans="1:4" x14ac:dyDescent="0.3">
      <c r="A62" t="s">
        <v>67</v>
      </c>
      <c r="B62" t="s">
        <v>68</v>
      </c>
      <c r="C62" t="s">
        <v>24</v>
      </c>
      <c r="D62" s="2" t="s">
        <v>83</v>
      </c>
    </row>
    <row r="63" spans="1:4" x14ac:dyDescent="0.3">
      <c r="A63" t="s">
        <v>67</v>
      </c>
      <c r="B63" t="s">
        <v>68</v>
      </c>
      <c r="C63" t="s">
        <v>84</v>
      </c>
      <c r="D63" s="2" t="s">
        <v>85</v>
      </c>
    </row>
    <row r="64" spans="1:4" x14ac:dyDescent="0.3">
      <c r="A64" t="s">
        <v>67</v>
      </c>
      <c r="B64" t="s">
        <v>68</v>
      </c>
      <c r="C64" t="s">
        <v>86</v>
      </c>
      <c r="D64" s="2" t="s">
        <v>87</v>
      </c>
    </row>
    <row r="65" spans="1:4" x14ac:dyDescent="0.3">
      <c r="A65" t="s">
        <v>67</v>
      </c>
      <c r="B65" t="s">
        <v>88</v>
      </c>
      <c r="C65" s="4" t="s">
        <v>76</v>
      </c>
      <c r="D65" s="2" t="s">
        <v>89</v>
      </c>
    </row>
    <row r="66" spans="1:4" x14ac:dyDescent="0.3">
      <c r="A66" t="s">
        <v>67</v>
      </c>
      <c r="B66" t="s">
        <v>88</v>
      </c>
      <c r="C66" t="s">
        <v>22</v>
      </c>
      <c r="D66" s="2" t="s">
        <v>90</v>
      </c>
    </row>
    <row r="67" spans="1:4" x14ac:dyDescent="0.3">
      <c r="A67" t="s">
        <v>67</v>
      </c>
      <c r="B67" t="s">
        <v>88</v>
      </c>
      <c r="C67" t="s">
        <v>24</v>
      </c>
      <c r="D67" s="2" t="s">
        <v>91</v>
      </c>
    </row>
    <row r="68" spans="1:4" x14ac:dyDescent="0.3">
      <c r="A68" t="s">
        <v>67</v>
      </c>
      <c r="B68" t="s">
        <v>88</v>
      </c>
      <c r="C68" t="s">
        <v>30</v>
      </c>
      <c r="D68" s="2" t="s">
        <v>92</v>
      </c>
    </row>
    <row r="69" spans="1:4" x14ac:dyDescent="0.3">
      <c r="A69" t="s">
        <v>67</v>
      </c>
      <c r="B69" t="s">
        <v>88</v>
      </c>
      <c r="C69" t="s">
        <v>43</v>
      </c>
      <c r="D69" s="2" t="s">
        <v>93</v>
      </c>
    </row>
    <row r="70" spans="1:4" x14ac:dyDescent="0.3">
      <c r="A70" t="s">
        <v>67</v>
      </c>
      <c r="B70" t="s">
        <v>88</v>
      </c>
      <c r="C70" t="s">
        <v>94</v>
      </c>
      <c r="D70" s="2" t="s">
        <v>95</v>
      </c>
    </row>
    <row r="71" spans="1:4" x14ac:dyDescent="0.3">
      <c r="A71" t="s">
        <v>67</v>
      </c>
      <c r="B71" t="s">
        <v>88</v>
      </c>
      <c r="C71" t="s">
        <v>13</v>
      </c>
      <c r="D71" s="2" t="s">
        <v>96</v>
      </c>
    </row>
    <row r="72" spans="1:4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C364-3EB3-4ED0-88F4-D37C89807DF4}">
  <dimension ref="A1:A11"/>
  <sheetViews>
    <sheetView workbookViewId="0">
      <selection activeCell="A2" sqref="A2"/>
    </sheetView>
  </sheetViews>
  <sheetFormatPr defaultRowHeight="12.75" x14ac:dyDescent="0.3"/>
  <cols>
    <col min="1" max="1" width="12.28515625" bestFit="1" customWidth="1"/>
  </cols>
  <sheetData>
    <row r="1" spans="1:1" x14ac:dyDescent="0.3">
      <c r="A1" t="s">
        <v>156</v>
      </c>
    </row>
    <row r="2" spans="1:1" x14ac:dyDescent="0.3">
      <c r="A2">
        <v>1.05123817864812E-5</v>
      </c>
    </row>
    <row r="3" spans="1:1" x14ac:dyDescent="0.3">
      <c r="A3">
        <v>3.9904143107867363E-5</v>
      </c>
    </row>
    <row r="4" spans="1:1" x14ac:dyDescent="0.3">
      <c r="A4">
        <v>3.3682529397500948E-5</v>
      </c>
    </row>
    <row r="5" spans="1:1" x14ac:dyDescent="0.3">
      <c r="A5">
        <v>1.5232226670207436E-5</v>
      </c>
    </row>
    <row r="6" spans="1:1" x14ac:dyDescent="0.3">
      <c r="A6">
        <v>1.2872304228344312E-5</v>
      </c>
    </row>
    <row r="7" spans="1:1" x14ac:dyDescent="0.3">
      <c r="A7">
        <v>1.7592149112070558E-5</v>
      </c>
    </row>
    <row r="8" spans="1:1" x14ac:dyDescent="0.3">
      <c r="A8">
        <v>4.634029522203953E-5</v>
      </c>
    </row>
    <row r="9" spans="1:1" x14ac:dyDescent="0.3">
      <c r="A9">
        <v>0</v>
      </c>
    </row>
    <row r="10" spans="1:1" x14ac:dyDescent="0.3">
      <c r="A10">
        <v>2.7460915687134531E-5</v>
      </c>
    </row>
    <row r="11" spans="1:1" x14ac:dyDescent="0.3">
      <c r="A11">
        <v>3.647152864697555E-6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57B9-A896-4450-97D5-61C377066F63}">
  <dimension ref="A1:R23"/>
  <sheetViews>
    <sheetView workbookViewId="0">
      <selection activeCell="F2" sqref="F2:F12"/>
    </sheetView>
  </sheetViews>
  <sheetFormatPr defaultRowHeight="12.75" x14ac:dyDescent="0.3"/>
  <cols>
    <col min="1" max="1" width="17" customWidth="1"/>
    <col min="2" max="2" width="19.5" customWidth="1"/>
    <col min="3" max="3" width="16.7109375" customWidth="1"/>
    <col min="4" max="4" width="18.640625" customWidth="1"/>
    <col min="5" max="5" width="20.5703125" customWidth="1"/>
    <col min="6" max="6" width="21.78515625" customWidth="1"/>
    <col min="7" max="7" width="15.140625" customWidth="1"/>
    <col min="9" max="12" width="20.640625" customWidth="1"/>
    <col min="13" max="15" width="20.640625" style="10" customWidth="1"/>
    <col min="16" max="18" width="9.140625" style="10"/>
  </cols>
  <sheetData>
    <row r="1" spans="1:15" ht="30" customHeight="1" x14ac:dyDescent="0.3">
      <c r="A1" s="11" t="s">
        <v>101</v>
      </c>
      <c r="B1" s="11" t="s">
        <v>106</v>
      </c>
      <c r="C1" s="11" t="s">
        <v>108</v>
      </c>
      <c r="D1" s="11" t="s">
        <v>102</v>
      </c>
      <c r="E1" s="11" t="s">
        <v>103</v>
      </c>
      <c r="F1" s="11" t="s">
        <v>104</v>
      </c>
      <c r="G1" s="11" t="s">
        <v>105</v>
      </c>
    </row>
    <row r="2" spans="1:15" ht="30" customHeight="1" x14ac:dyDescent="0.3">
      <c r="A2" s="11">
        <v>355</v>
      </c>
      <c r="B2" s="11">
        <v>49</v>
      </c>
      <c r="C2" s="11">
        <v>-320.17239999999998</v>
      </c>
      <c r="D2" s="7">
        <f>EXP(C2/1000)</f>
        <v>0.72602385977029305</v>
      </c>
      <c r="E2" s="12" t="s">
        <v>156</v>
      </c>
      <c r="F2" s="12" t="s">
        <v>156</v>
      </c>
      <c r="G2" s="12">
        <v>1.5576000000000001E-4</v>
      </c>
    </row>
    <row r="3" spans="1:15" ht="30" customHeight="1" x14ac:dyDescent="0.3">
      <c r="A3" s="11">
        <v>341</v>
      </c>
      <c r="B3" s="11">
        <v>186</v>
      </c>
      <c r="C3" s="11">
        <v>-320.17239999999998</v>
      </c>
      <c r="D3" s="7">
        <f t="shared" ref="D3:D11" si="0">EXP(C3/1000)</f>
        <v>0.72602385977029305</v>
      </c>
      <c r="E3" s="12">
        <f>(G2*Sheet2!M7/D2)</f>
        <v>1.5692154405686572E-4</v>
      </c>
      <c r="F3" s="12">
        <f t="shared" ref="F3:F12" si="1">(G2*B2/(1000*D2))</f>
        <v>1.0512381786481187E-5</v>
      </c>
      <c r="G3" s="12">
        <v>1.5576000000000001E-4</v>
      </c>
    </row>
    <row r="4" spans="1:15" ht="30" customHeight="1" x14ac:dyDescent="0.3">
      <c r="A4" s="11">
        <v>307</v>
      </c>
      <c r="B4" s="11">
        <v>157</v>
      </c>
      <c r="C4" s="11">
        <v>-320.17239999999998</v>
      </c>
      <c r="D4" s="7">
        <f t="shared" si="0"/>
        <v>0.72602385977029305</v>
      </c>
      <c r="E4" s="12">
        <f t="shared" ref="E4:E12" si="2">(G3*(1+A3/1000)/D3)</f>
        <v>2.8769599950349535E-4</v>
      </c>
      <c r="F4" s="12">
        <f t="shared" si="1"/>
        <v>3.9904143107867363E-5</v>
      </c>
      <c r="G4" s="12">
        <v>1.5576000000000001E-4</v>
      </c>
    </row>
    <row r="5" spans="1:15" ht="30" customHeight="1" x14ac:dyDescent="0.3">
      <c r="A5" s="11">
        <v>366</v>
      </c>
      <c r="B5" s="11">
        <v>71</v>
      </c>
      <c r="C5" s="11">
        <v>-320.17239999999998</v>
      </c>
      <c r="D5" s="7">
        <f t="shared" si="0"/>
        <v>0.72602385977029305</v>
      </c>
      <c r="E5" s="12">
        <f t="shared" si="2"/>
        <v>2.8040169377410024E-4</v>
      </c>
      <c r="F5" s="12">
        <f t="shared" si="1"/>
        <v>3.3682529397500948E-5</v>
      </c>
      <c r="G5" s="12">
        <v>1.5576000000000001E-4</v>
      </c>
    </row>
    <row r="6" spans="1:15" ht="30" customHeight="1" x14ac:dyDescent="0.3">
      <c r="A6" s="11">
        <v>866</v>
      </c>
      <c r="B6" s="11">
        <v>60</v>
      </c>
      <c r="C6" s="11">
        <v>-320.17239999999998</v>
      </c>
      <c r="D6" s="7">
        <f t="shared" si="0"/>
        <v>0.72602385977029305</v>
      </c>
      <c r="E6" s="12">
        <f t="shared" si="2"/>
        <v>2.9305945959863885E-4</v>
      </c>
      <c r="F6" s="12">
        <f t="shared" si="1"/>
        <v>1.5232226670207436E-5</v>
      </c>
      <c r="G6" s="12">
        <v>1.5576000000000001E-4</v>
      </c>
    </row>
    <row r="7" spans="1:15" ht="30" customHeight="1" x14ac:dyDescent="0.3">
      <c r="A7" s="11">
        <v>1070</v>
      </c>
      <c r="B7" s="11">
        <v>82</v>
      </c>
      <c r="C7" s="11">
        <v>-320.17239999999998</v>
      </c>
      <c r="D7" s="7">
        <f t="shared" si="0"/>
        <v>0.72602385977029305</v>
      </c>
      <c r="E7" s="12">
        <f t="shared" si="2"/>
        <v>4.0032866150150812E-4</v>
      </c>
      <c r="F7" s="12">
        <f t="shared" si="1"/>
        <v>1.2872304228344312E-5</v>
      </c>
      <c r="G7" s="12">
        <v>1.5576000000000001E-4</v>
      </c>
    </row>
    <row r="8" spans="1:15" ht="30" customHeight="1" x14ac:dyDescent="0.3">
      <c r="A8" s="11">
        <v>1241</v>
      </c>
      <c r="B8" s="11">
        <v>216</v>
      </c>
      <c r="C8" s="11">
        <v>-320.17239999999998</v>
      </c>
      <c r="D8" s="7">
        <f t="shared" si="0"/>
        <v>0.72602385977029305</v>
      </c>
      <c r="E8" s="12">
        <f t="shared" si="2"/>
        <v>4.4409449587787882E-4</v>
      </c>
      <c r="F8" s="12">
        <f t="shared" si="1"/>
        <v>1.7592149112070558E-5</v>
      </c>
      <c r="G8" s="12">
        <v>1.5576000000000001E-4</v>
      </c>
    </row>
    <row r="9" spans="1:15" ht="30" customHeight="1" x14ac:dyDescent="0.3">
      <c r="A9" s="11">
        <v>868</v>
      </c>
      <c r="B9" s="11">
        <v>0</v>
      </c>
      <c r="C9" s="11">
        <v>-320.17239999999998</v>
      </c>
      <c r="D9" s="7">
        <f t="shared" si="0"/>
        <v>0.72602385977029305</v>
      </c>
      <c r="E9" s="12">
        <f t="shared" si="2"/>
        <v>4.8078056292866005E-4</v>
      </c>
      <c r="F9" s="12">
        <f t="shared" si="1"/>
        <v>4.634029522203953E-5</v>
      </c>
      <c r="G9" s="12">
        <v>1.5576000000000001E-4</v>
      </c>
    </row>
    <row r="10" spans="1:15" ht="30" customHeight="1" x14ac:dyDescent="0.3">
      <c r="A10" s="11">
        <v>975</v>
      </c>
      <c r="B10" s="11">
        <v>128</v>
      </c>
      <c r="C10" s="11">
        <v>-320.17239999999998</v>
      </c>
      <c r="D10" s="7">
        <f t="shared" si="0"/>
        <v>0.72602385977029305</v>
      </c>
      <c r="E10" s="12">
        <f t="shared" si="2"/>
        <v>4.0075773830911958E-4</v>
      </c>
      <c r="F10" s="12">
        <f t="shared" si="1"/>
        <v>0</v>
      </c>
      <c r="G10" s="12">
        <v>1.5576000000000001E-4</v>
      </c>
    </row>
    <row r="11" spans="1:15" ht="30" customHeight="1" x14ac:dyDescent="0.3">
      <c r="A11" s="11">
        <v>399</v>
      </c>
      <c r="B11" s="11">
        <v>17</v>
      </c>
      <c r="C11" s="11">
        <v>-320.17239999999998</v>
      </c>
      <c r="D11" s="7">
        <f t="shared" si="0"/>
        <v>0.72602385977029305</v>
      </c>
      <c r="E11" s="12">
        <f t="shared" si="2"/>
        <v>4.2371334751633357E-4</v>
      </c>
      <c r="F11" s="12">
        <f t="shared" si="1"/>
        <v>2.7460915687134531E-5</v>
      </c>
      <c r="G11" s="12">
        <v>1.5576000000000001E-4</v>
      </c>
    </row>
    <row r="12" spans="1:15" ht="30" customHeight="1" x14ac:dyDescent="0.3">
      <c r="E12" s="12">
        <f t="shared" si="2"/>
        <v>3.0013922692422821E-4</v>
      </c>
      <c r="F12" s="12">
        <f t="shared" si="1"/>
        <v>3.647152864697555E-6</v>
      </c>
    </row>
    <row r="13" spans="1:15" ht="30" customHeight="1" x14ac:dyDescent="0.3">
      <c r="I13" s="11"/>
      <c r="J13" s="11"/>
      <c r="K13" s="11"/>
      <c r="L13" s="11"/>
      <c r="M13" s="11"/>
      <c r="N13" s="11"/>
      <c r="O13" s="11"/>
    </row>
    <row r="14" spans="1:15" ht="30" customHeight="1" x14ac:dyDescent="0.3">
      <c r="I14" s="11"/>
      <c r="J14" s="11"/>
      <c r="K14" s="11"/>
      <c r="L14" s="7"/>
      <c r="M14" s="12"/>
      <c r="N14" s="12"/>
      <c r="O14" s="12"/>
    </row>
    <row r="15" spans="1:15" ht="30" customHeight="1" x14ac:dyDescent="0.3">
      <c r="I15" s="11"/>
      <c r="J15" s="11"/>
      <c r="K15" s="11"/>
      <c r="L15" s="7"/>
      <c r="M15" s="12"/>
      <c r="N15" s="12"/>
      <c r="O15" s="12"/>
    </row>
    <row r="16" spans="1:15" x14ac:dyDescent="0.3">
      <c r="I16" s="11"/>
      <c r="J16" s="11"/>
      <c r="K16" s="11"/>
      <c r="L16" s="7"/>
      <c r="M16" s="12"/>
      <c r="N16" s="12"/>
      <c r="O16" s="12"/>
    </row>
    <row r="17" spans="9:15" x14ac:dyDescent="0.3">
      <c r="I17" s="11"/>
      <c r="J17" s="11"/>
      <c r="K17" s="11"/>
      <c r="L17" s="7"/>
      <c r="M17" s="12"/>
      <c r="N17" s="12"/>
      <c r="O17" s="12"/>
    </row>
    <row r="18" spans="9:15" x14ac:dyDescent="0.3">
      <c r="I18" s="11"/>
      <c r="J18" s="11"/>
      <c r="K18" s="11"/>
      <c r="L18" s="7"/>
      <c r="M18" s="12"/>
      <c r="N18" s="12"/>
      <c r="O18" s="12"/>
    </row>
    <row r="19" spans="9:15" x14ac:dyDescent="0.3">
      <c r="I19" s="11"/>
      <c r="J19" s="11"/>
      <c r="K19" s="11"/>
      <c r="L19" s="7"/>
      <c r="M19" s="12"/>
      <c r="N19" s="12"/>
      <c r="O19" s="12"/>
    </row>
    <row r="20" spans="9:15" x14ac:dyDescent="0.3">
      <c r="I20" s="11"/>
      <c r="J20" s="11"/>
      <c r="K20" s="11"/>
      <c r="L20" s="7"/>
      <c r="M20" s="12"/>
      <c r="N20" s="12"/>
      <c r="O20" s="12"/>
    </row>
    <row r="21" spans="9:15" x14ac:dyDescent="0.3">
      <c r="I21" s="11"/>
      <c r="J21" s="11"/>
      <c r="K21" s="11"/>
      <c r="L21" s="7"/>
      <c r="M21" s="12"/>
      <c r="N21" s="12"/>
      <c r="O21" s="12"/>
    </row>
    <row r="22" spans="9:15" x14ac:dyDescent="0.3">
      <c r="I22" s="11"/>
      <c r="J22" s="11"/>
      <c r="K22" s="11"/>
      <c r="L22" s="7"/>
      <c r="M22" s="12"/>
      <c r="N22" s="12"/>
      <c r="O22" s="12"/>
    </row>
    <row r="23" spans="9:15" x14ac:dyDescent="0.3">
      <c r="I23" s="11"/>
      <c r="J23" s="11"/>
      <c r="K23" s="11"/>
      <c r="L23" s="7"/>
      <c r="M23" s="12"/>
      <c r="N23" s="12"/>
      <c r="O23" s="12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4CEA-3EAE-430D-8972-38B7F298069B}">
  <dimension ref="A1:AB56"/>
  <sheetViews>
    <sheetView tabSelected="1" topLeftCell="M3" zoomScale="64" zoomScaleNormal="40" workbookViewId="0">
      <selection sqref="A1:AA42"/>
    </sheetView>
  </sheetViews>
  <sheetFormatPr defaultRowHeight="12.75" x14ac:dyDescent="0.3"/>
  <cols>
    <col min="2" max="2" width="9.140625" customWidth="1"/>
    <col min="3" max="4" width="26.140625" customWidth="1"/>
    <col min="5" max="17" width="20.640625" customWidth="1"/>
    <col min="18" max="19" width="25.640625" customWidth="1"/>
    <col min="20" max="20" width="22.35546875" customWidth="1"/>
    <col min="21" max="21" width="22.5" customWidth="1"/>
    <col min="22" max="22" width="15.42578125" customWidth="1"/>
    <col min="25" max="27" width="25.640625" customWidth="1"/>
  </cols>
  <sheetData>
    <row r="1" spans="1:28" ht="20" customHeight="1" x14ac:dyDescent="0.3">
      <c r="B1" s="9"/>
      <c r="C1" s="14" t="s">
        <v>98</v>
      </c>
      <c r="D1" s="14"/>
      <c r="E1" s="9" t="s">
        <v>99</v>
      </c>
      <c r="F1" s="9" t="s">
        <v>101</v>
      </c>
      <c r="G1" s="9" t="s">
        <v>106</v>
      </c>
      <c r="H1" s="9" t="s">
        <v>149</v>
      </c>
      <c r="I1" s="9" t="s">
        <v>150</v>
      </c>
      <c r="J1" s="9" t="s">
        <v>119</v>
      </c>
      <c r="K1" s="9" t="s">
        <v>120</v>
      </c>
      <c r="L1" s="9" t="s">
        <v>110</v>
      </c>
      <c r="M1" s="9" t="s">
        <v>111</v>
      </c>
      <c r="N1" s="9" t="s">
        <v>113</v>
      </c>
      <c r="O1" s="9" t="s">
        <v>112</v>
      </c>
      <c r="P1" s="9" t="s">
        <v>114</v>
      </c>
      <c r="Q1" s="9" t="s">
        <v>115</v>
      </c>
      <c r="R1" s="9" t="s">
        <v>109</v>
      </c>
      <c r="S1" s="9" t="s">
        <v>146</v>
      </c>
      <c r="T1" s="9" t="s">
        <v>148</v>
      </c>
      <c r="U1" s="9" t="s">
        <v>147</v>
      </c>
      <c r="V1" s="9" t="s">
        <v>160</v>
      </c>
      <c r="Y1" s="9" t="s">
        <v>116</v>
      </c>
      <c r="Z1" s="9" t="s">
        <v>117</v>
      </c>
      <c r="AA1" s="9" t="s">
        <v>118</v>
      </c>
      <c r="AB1" s="9" t="s">
        <v>160</v>
      </c>
    </row>
    <row r="2" spans="1:28" ht="20" hidden="1" customHeight="1" x14ac:dyDescent="0.3">
      <c r="A2" t="s">
        <v>124</v>
      </c>
      <c r="B2" s="9">
        <v>1</v>
      </c>
      <c r="C2" s="9" t="s">
        <v>3</v>
      </c>
      <c r="D2" s="9"/>
      <c r="E2" s="15" t="s">
        <v>4</v>
      </c>
      <c r="F2" s="9">
        <v>355</v>
      </c>
      <c r="G2" s="9">
        <v>49</v>
      </c>
      <c r="H2" s="9"/>
      <c r="I2" s="9"/>
      <c r="J2" s="13">
        <v>2.9069953715677599E-4</v>
      </c>
      <c r="K2" s="13">
        <v>1.05123817864812E-5</v>
      </c>
      <c r="L2" s="8"/>
      <c r="M2" s="9"/>
      <c r="N2" s="22"/>
      <c r="O2" s="13"/>
      <c r="P2" s="23"/>
      <c r="Q2" s="23"/>
      <c r="R2" s="12"/>
      <c r="S2" s="9"/>
      <c r="Y2" s="9"/>
    </row>
    <row r="3" spans="1:28" ht="20" customHeight="1" x14ac:dyDescent="0.3">
      <c r="A3" t="s">
        <v>124</v>
      </c>
      <c r="B3" s="9">
        <v>1</v>
      </c>
      <c r="C3" s="9" t="s">
        <v>151</v>
      </c>
      <c r="D3" s="9">
        <v>7</v>
      </c>
      <c r="E3" s="9" t="s">
        <v>145</v>
      </c>
      <c r="F3" s="9">
        <v>58</v>
      </c>
      <c r="G3" s="9">
        <v>6</v>
      </c>
      <c r="H3" s="32">
        <f>(F3/1000+1)*R3</f>
        <v>1.6479408000000001E-4</v>
      </c>
      <c r="I3" s="32">
        <f>R3*G3/1000</f>
        <v>9.3456000000000008E-7</v>
      </c>
      <c r="J3" s="13">
        <v>1.56921E-4</v>
      </c>
      <c r="K3" s="13">
        <v>1.0512E-5</v>
      </c>
      <c r="L3" s="16">
        <v>-368.14659999999998</v>
      </c>
      <c r="M3" s="13">
        <f t="shared" ref="M3:M7" si="0">EXP(L3/1000)</f>
        <v>0.69201572474687045</v>
      </c>
      <c r="N3" s="22">
        <f>(6*(R3*(1+F3/1000))-2*J3*M3)/4</f>
        <v>1.928952202284982E-4</v>
      </c>
      <c r="O3" s="13">
        <f>SQRT(((6*R3/(4*1000))^2*(G3^2)) + ((M3/2)^2*(K3^2)))</f>
        <v>3.8980291532320531E-6</v>
      </c>
      <c r="P3" s="23">
        <f t="shared" ref="P3:P36" si="1">(N3/R3-1)*1000</f>
        <v>238.41307285887382</v>
      </c>
      <c r="Q3" s="23">
        <f t="shared" ref="Q3:Q26" si="2">(1000*O3/R3)</f>
        <v>25.025867701797978</v>
      </c>
      <c r="R3" s="12">
        <v>1.5576000000000001E-4</v>
      </c>
      <c r="S3" s="9">
        <v>1</v>
      </c>
      <c r="T3">
        <v>1</v>
      </c>
      <c r="U3">
        <v>1</v>
      </c>
      <c r="V3" s="27">
        <f>(N3-H3)/H3</f>
        <v>0.17052275317473894</v>
      </c>
      <c r="Y3" s="9"/>
    </row>
    <row r="4" spans="1:28" ht="20" hidden="1" customHeight="1" x14ac:dyDescent="0.3">
      <c r="A4" t="s">
        <v>122</v>
      </c>
      <c r="B4" s="9">
        <v>2</v>
      </c>
      <c r="C4" s="9" t="s">
        <v>11</v>
      </c>
      <c r="D4" s="9"/>
      <c r="E4" s="15" t="s">
        <v>4</v>
      </c>
      <c r="F4" s="9">
        <v>341</v>
      </c>
      <c r="G4" s="9">
        <v>186</v>
      </c>
      <c r="H4" s="32">
        <f t="shared" ref="H4:H42" si="3">(F4/1000+1)*R3</f>
        <v>2.0887416000000002E-4</v>
      </c>
      <c r="I4" s="32">
        <f t="shared" ref="I4:I42" si="4">R4*G4/1000</f>
        <v>2.8971360000000002E-5</v>
      </c>
      <c r="J4" s="13">
        <v>2.8769599950349535E-4</v>
      </c>
      <c r="K4" s="13">
        <v>3.9904143107867363E-5</v>
      </c>
      <c r="L4" s="17"/>
      <c r="M4" s="13">
        <f t="shared" si="0"/>
        <v>1</v>
      </c>
      <c r="N4" s="22">
        <f>(4*(R4*(1+F4/1000))-J4*M4)/3</f>
        <v>1.8260021349883492E-4</v>
      </c>
      <c r="O4" s="13">
        <f t="shared" ref="O4:O6" si="5">SQRT(((4*R4/(3*1000))^2*(G4^2)) + ((M4/3)^2*(K4^2)))</f>
        <v>4.0854451465832762E-5</v>
      </c>
      <c r="P4" s="23">
        <f t="shared" si="1"/>
        <v>172.31775487182153</v>
      </c>
      <c r="Q4" s="23">
        <f t="shared" si="2"/>
        <v>262.29103406415481</v>
      </c>
      <c r="R4" s="12">
        <v>1.5576000000000001E-4</v>
      </c>
      <c r="S4" s="9"/>
      <c r="V4" s="27">
        <f>(N4-H4)/H4</f>
        <v>-0.1257884005430116</v>
      </c>
      <c r="Y4" s="9"/>
    </row>
    <row r="5" spans="1:28" ht="20" customHeight="1" x14ac:dyDescent="0.3">
      <c r="A5" t="s">
        <v>122</v>
      </c>
      <c r="B5" s="9">
        <v>2</v>
      </c>
      <c r="C5" s="9" t="s">
        <v>152</v>
      </c>
      <c r="D5" s="9">
        <v>3</v>
      </c>
      <c r="E5" s="9" t="s">
        <v>13</v>
      </c>
      <c r="F5" s="9">
        <v>529</v>
      </c>
      <c r="G5" s="9">
        <v>57</v>
      </c>
      <c r="H5" s="32">
        <f t="shared" si="3"/>
        <v>2.3815704000000002E-4</v>
      </c>
      <c r="I5" s="32">
        <f t="shared" si="4"/>
        <v>8.8783200000000007E-6</v>
      </c>
      <c r="J5" s="13">
        <v>2.8769599950349535E-4</v>
      </c>
      <c r="K5" s="13">
        <v>3.9904143107867363E-5</v>
      </c>
      <c r="L5" s="16">
        <v>-369.47019999999998</v>
      </c>
      <c r="M5" s="13">
        <f t="shared" si="0"/>
        <v>0.691100378643281</v>
      </c>
      <c r="N5" s="22">
        <f>(4*(R5*(1+F5/1000))-2*J5*M5)/2</f>
        <v>2.7748726580897724E-4</v>
      </c>
      <c r="O5" s="13">
        <f>SQRT(((R5/(500))^2*(G5^2)) + ((M5)^2*(K5^2)))</f>
        <v>3.2799871564320913E-5</v>
      </c>
      <c r="P5" s="23">
        <f t="shared" si="1"/>
        <v>781.50530180391127</v>
      </c>
      <c r="Q5" s="23">
        <f t="shared" si="2"/>
        <v>210.57955549769457</v>
      </c>
      <c r="R5" s="12">
        <v>1.5576000000000001E-4</v>
      </c>
      <c r="S5" s="9">
        <v>2</v>
      </c>
      <c r="T5">
        <v>2</v>
      </c>
      <c r="U5">
        <v>1</v>
      </c>
      <c r="V5" s="27">
        <f>(N5-H5)/H5</f>
        <v>0.16514408227855543</v>
      </c>
      <c r="Y5" s="9">
        <v>-318.20209999999997</v>
      </c>
      <c r="Z5" s="27">
        <f t="shared" ref="Z5:Z42" si="6">EXP(Y5/1000)</f>
        <v>0.72745575474930924</v>
      </c>
      <c r="AA5" s="27">
        <f t="shared" ref="AA5:AA42" si="7">(4*Z5-M5)/3</f>
        <v>0.73957421345131868</v>
      </c>
    </row>
    <row r="6" spans="1:28" ht="20" hidden="1" customHeight="1" x14ac:dyDescent="0.3">
      <c r="A6" t="s">
        <v>121</v>
      </c>
      <c r="B6" s="9">
        <v>4</v>
      </c>
      <c r="C6" s="9" t="s">
        <v>20</v>
      </c>
      <c r="D6" s="9"/>
      <c r="E6" s="19" t="s">
        <v>4</v>
      </c>
      <c r="F6" s="9">
        <v>366</v>
      </c>
      <c r="G6" s="9">
        <v>71</v>
      </c>
      <c r="H6" s="32">
        <f t="shared" si="3"/>
        <v>2.1276816000000004E-4</v>
      </c>
      <c r="I6" s="32">
        <f t="shared" si="4"/>
        <v>1.1058960000000001E-5</v>
      </c>
      <c r="J6" s="13">
        <v>2.9305945959863885E-4</v>
      </c>
      <c r="K6" s="13">
        <v>1.5232226670207436E-5</v>
      </c>
      <c r="L6" s="20"/>
      <c r="M6" s="13">
        <f t="shared" si="0"/>
        <v>1</v>
      </c>
      <c r="N6" s="22">
        <f>(4*(R6*(1+F6/1000))-J6*M6)/3</f>
        <v>1.8600439346712046E-4</v>
      </c>
      <c r="O6" s="13">
        <f t="shared" si="5"/>
        <v>1.5594978785344763E-5</v>
      </c>
      <c r="P6" s="23">
        <f t="shared" si="1"/>
        <v>194.17304485824639</v>
      </c>
      <c r="Q6" s="23">
        <f t="shared" si="2"/>
        <v>100.12184633631716</v>
      </c>
      <c r="R6" s="12">
        <v>1.5576000000000001E-4</v>
      </c>
      <c r="S6" s="9"/>
      <c r="V6" s="27">
        <f>(N6-H6)/H6</f>
        <v>-0.1257884005430116</v>
      </c>
      <c r="Y6" s="9"/>
      <c r="Z6" s="27">
        <f t="shared" si="6"/>
        <v>1</v>
      </c>
      <c r="AA6" s="27">
        <f t="shared" si="7"/>
        <v>1</v>
      </c>
    </row>
    <row r="7" spans="1:28" ht="19.899999999999999" customHeight="1" x14ac:dyDescent="0.3">
      <c r="A7" t="s">
        <v>121</v>
      </c>
      <c r="B7" s="9">
        <v>4</v>
      </c>
      <c r="C7" s="9" t="s">
        <v>153</v>
      </c>
      <c r="D7" s="9">
        <v>1</v>
      </c>
      <c r="E7" s="25" t="s">
        <v>22</v>
      </c>
      <c r="F7" s="13">
        <v>725</v>
      </c>
      <c r="G7" s="13">
        <v>25</v>
      </c>
      <c r="H7" s="32">
        <f t="shared" si="3"/>
        <v>2.6868600000000002E-4</v>
      </c>
      <c r="I7" s="32">
        <f t="shared" si="4"/>
        <v>3.8940000000000003E-6</v>
      </c>
      <c r="J7" s="21">
        <v>2.9305945959863885E-4</v>
      </c>
      <c r="K7" s="21">
        <v>1.5232226670207436E-5</v>
      </c>
      <c r="L7" s="22">
        <v>-312.74279999999999</v>
      </c>
      <c r="M7" s="13">
        <f t="shared" si="0"/>
        <v>0.73143801423523203</v>
      </c>
      <c r="N7" s="22">
        <f>(4*(R7*(1+F7/1000))-J7*M7)/3</f>
        <v>2.8679639027277387E-4</v>
      </c>
      <c r="O7" s="13">
        <f>SQRT(((4*R7/(3*1000))^2*(G7^2)) + ((M7/3)^2*(K7^2)))</f>
        <v>6.3835137499004347E-6</v>
      </c>
      <c r="P7" s="23">
        <f t="shared" si="1"/>
        <v>841.27112399058706</v>
      </c>
      <c r="Q7" s="23">
        <f t="shared" si="2"/>
        <v>40.983010720983785</v>
      </c>
      <c r="R7" s="12">
        <v>1.5576000000000001E-4</v>
      </c>
      <c r="S7" s="9">
        <v>3</v>
      </c>
      <c r="T7">
        <v>3</v>
      </c>
      <c r="U7">
        <v>1</v>
      </c>
      <c r="V7" s="27">
        <f>(N7-H7)/H7</f>
        <v>6.7403550139470761E-2</v>
      </c>
      <c r="Y7" s="9">
        <v>-375.09109999999998</v>
      </c>
      <c r="Z7" s="27">
        <f t="shared" si="6"/>
        <v>0.6872266695895668</v>
      </c>
      <c r="AA7" s="27">
        <f t="shared" si="7"/>
        <v>0.67248955470767846</v>
      </c>
    </row>
    <row r="8" spans="1:28" ht="20" customHeight="1" x14ac:dyDescent="0.3">
      <c r="A8" t="s">
        <v>121</v>
      </c>
      <c r="B8" s="9">
        <v>4</v>
      </c>
      <c r="C8" s="9" t="s">
        <v>153</v>
      </c>
      <c r="D8" s="9">
        <v>2</v>
      </c>
      <c r="E8" s="25" t="s">
        <v>24</v>
      </c>
      <c r="F8" s="13">
        <v>765</v>
      </c>
      <c r="G8" s="13">
        <v>74</v>
      </c>
      <c r="H8" s="32">
        <f t="shared" si="3"/>
        <v>2.7491640000000002E-4</v>
      </c>
      <c r="I8" s="32">
        <f t="shared" si="4"/>
        <v>1.1526239999999999E-5</v>
      </c>
      <c r="J8" s="21">
        <v>2.9305945959863885E-4</v>
      </c>
      <c r="K8" s="21">
        <v>1.5232226670207436E-5</v>
      </c>
      <c r="L8" s="21">
        <v>-312.67140000000001</v>
      </c>
      <c r="M8" s="13">
        <f>EXP(L8/1000)</f>
        <v>0.73149024077391367</v>
      </c>
      <c r="N8" s="22">
        <f>(4*(R8*(1+F8/1000))-J8*M8)/3</f>
        <v>2.9509848844570628E-4</v>
      </c>
      <c r="O8" s="13">
        <f t="shared" ref="O8:O38" si="8">SQRT(((4*R8/(3*1000))^2*(G8^2)) + ((M8/3)^2*(K8^2)))</f>
        <v>1.5810743597649245E-5</v>
      </c>
      <c r="P8" s="23">
        <f t="shared" si="1"/>
        <v>894.57170291285479</v>
      </c>
      <c r="Q8" s="23">
        <f t="shared" si="2"/>
        <v>101.50708524428123</v>
      </c>
      <c r="R8" s="12">
        <v>1.5576000000000001E-4</v>
      </c>
      <c r="S8" s="9">
        <v>4</v>
      </c>
      <c r="T8">
        <v>3</v>
      </c>
      <c r="U8">
        <v>1</v>
      </c>
      <c r="V8" s="27">
        <f>(N8-H8)/H8</f>
        <v>7.3411729695668435E-2</v>
      </c>
      <c r="Y8" s="28">
        <v>-375.08920000000001</v>
      </c>
      <c r="Z8" s="27">
        <f t="shared" si="6"/>
        <v>0.68722797532147939</v>
      </c>
      <c r="AA8" s="27">
        <f t="shared" si="7"/>
        <v>0.67247388683733467</v>
      </c>
    </row>
    <row r="9" spans="1:28" ht="20" customHeight="1" x14ac:dyDescent="0.3">
      <c r="A9" t="s">
        <v>121</v>
      </c>
      <c r="B9" s="9">
        <v>4</v>
      </c>
      <c r="C9" s="9" t="s">
        <v>153</v>
      </c>
      <c r="D9" s="9">
        <v>3</v>
      </c>
      <c r="E9" s="9" t="s">
        <v>13</v>
      </c>
      <c r="F9" s="9">
        <v>915</v>
      </c>
      <c r="G9" s="9">
        <v>54</v>
      </c>
      <c r="H9" s="32">
        <f t="shared" si="3"/>
        <v>2.9828040000000002E-4</v>
      </c>
      <c r="I9" s="32">
        <f t="shared" si="4"/>
        <v>8.4110400000000024E-6</v>
      </c>
      <c r="J9" s="13">
        <v>2.9305945959863885E-4</v>
      </c>
      <c r="K9" s="13">
        <v>1.5232226670207436E-5</v>
      </c>
      <c r="L9" s="9">
        <v>-369.47019999999998</v>
      </c>
      <c r="M9" s="13">
        <f t="shared" ref="M9:M42" si="9">EXP(L9/1000)</f>
        <v>0.691100378643281</v>
      </c>
      <c r="N9" s="22">
        <f>(4*(R9*(1+F9/1000))-2*J9*M9)/2</f>
        <v>3.9402729650638544E-4</v>
      </c>
      <c r="O9" s="13">
        <f>SQRT(((R9/(500))^2*(G9^2)) + ((M9)^2*(K9^2)))</f>
        <v>1.9844396045342993E-5</v>
      </c>
      <c r="P9" s="23">
        <f t="shared" si="1"/>
        <v>1529.7078614945133</v>
      </c>
      <c r="Q9" s="23">
        <f t="shared" si="2"/>
        <v>127.40367260749224</v>
      </c>
      <c r="R9" s="12">
        <v>1.5576000000000001E-4</v>
      </c>
      <c r="S9" s="9">
        <v>2</v>
      </c>
      <c r="T9">
        <v>3</v>
      </c>
      <c r="U9">
        <v>1</v>
      </c>
      <c r="V9" s="27">
        <f>(N9-H9)/H9</f>
        <v>0.32099627232089473</v>
      </c>
      <c r="Y9" s="9">
        <v>-318.20209999999997</v>
      </c>
      <c r="Z9" s="27">
        <f t="shared" si="6"/>
        <v>0.72745575474930924</v>
      </c>
      <c r="AA9" s="27">
        <f t="shared" si="7"/>
        <v>0.73957421345131868</v>
      </c>
    </row>
    <row r="10" spans="1:28" ht="20" customHeight="1" x14ac:dyDescent="0.3">
      <c r="A10" t="s">
        <v>121</v>
      </c>
      <c r="B10" s="9">
        <v>4</v>
      </c>
      <c r="C10" s="9" t="s">
        <v>153</v>
      </c>
      <c r="D10" s="9">
        <v>4</v>
      </c>
      <c r="E10" s="25" t="s">
        <v>30</v>
      </c>
      <c r="F10" s="13">
        <v>1216</v>
      </c>
      <c r="G10" s="13">
        <v>82</v>
      </c>
      <c r="H10" s="32">
        <f t="shared" si="3"/>
        <v>3.4516416000000008E-4</v>
      </c>
      <c r="I10" s="32">
        <f t="shared" si="4"/>
        <v>1.2772319999999999E-5</v>
      </c>
      <c r="J10" s="21">
        <v>2.9305945959863885E-4</v>
      </c>
      <c r="K10" s="21">
        <v>1.5232226670207436E-5</v>
      </c>
      <c r="L10" s="13">
        <v>-149.7405</v>
      </c>
      <c r="M10" s="13">
        <f t="shared" si="9"/>
        <v>0.86093135912759222</v>
      </c>
      <c r="N10" s="22">
        <f>(8*(R10*(1+F10/1000))-J10*M10)/7</f>
        <v>3.5842988587750667E-4</v>
      </c>
      <c r="O10" s="13">
        <f>SQRT(((8*R10/(7*1000))^2*(G10^2)) + ((M10/7)^2*(K10^2)))</f>
        <v>1.4716665923369405E-5</v>
      </c>
      <c r="P10" s="23">
        <f t="shared" si="1"/>
        <v>1301.1677316224102</v>
      </c>
      <c r="Q10" s="23">
        <f t="shared" si="2"/>
        <v>94.482960473609424</v>
      </c>
      <c r="R10" s="12">
        <v>1.5576000000000001E-4</v>
      </c>
      <c r="S10" s="9">
        <v>5</v>
      </c>
      <c r="T10">
        <v>3</v>
      </c>
      <c r="U10">
        <v>1</v>
      </c>
      <c r="V10" s="27">
        <f>(N10-H10)/H10</f>
        <v>3.8433091887369125E-2</v>
      </c>
      <c r="Y10" s="9">
        <v>-346.4067</v>
      </c>
      <c r="Z10" s="27">
        <f t="shared" si="6"/>
        <v>0.70722480028307644</v>
      </c>
      <c r="AA10" s="27">
        <f t="shared" si="7"/>
        <v>0.65598928066823781</v>
      </c>
    </row>
    <row r="11" spans="1:28" ht="20" hidden="1" customHeight="1" x14ac:dyDescent="0.3">
      <c r="A11" t="s">
        <v>125</v>
      </c>
      <c r="B11" s="9">
        <v>5</v>
      </c>
      <c r="C11" s="9" t="s">
        <v>33</v>
      </c>
      <c r="D11" s="9"/>
      <c r="E11" s="19" t="s">
        <v>4</v>
      </c>
      <c r="F11" s="9">
        <v>866</v>
      </c>
      <c r="G11" s="9">
        <v>60</v>
      </c>
      <c r="H11" s="32">
        <f t="shared" si="3"/>
        <v>2.9064816000000002E-4</v>
      </c>
      <c r="I11" s="32">
        <f t="shared" si="4"/>
        <v>9.3456000000000008E-6</v>
      </c>
      <c r="J11" s="13">
        <v>4.0032866150150812E-4</v>
      </c>
      <c r="K11" s="13">
        <v>1.2872304228344312E-5</v>
      </c>
      <c r="L11" s="18"/>
      <c r="M11" s="13">
        <f t="shared" si="9"/>
        <v>1</v>
      </c>
      <c r="N11" s="22">
        <f>(4*(R11*(1+F11/1000))-J11*M11)/3</f>
        <v>2.5408799283283066E-4</v>
      </c>
      <c r="O11" s="13">
        <f t="shared" si="8"/>
        <v>1.3178855311558956E-5</v>
      </c>
      <c r="P11" s="23">
        <f t="shared" si="1"/>
        <v>631.27884458674009</v>
      </c>
      <c r="Q11" s="23">
        <f t="shared" si="2"/>
        <v>84.61001098843704</v>
      </c>
      <c r="R11" s="12">
        <v>1.5576000000000001E-4</v>
      </c>
      <c r="S11" s="9"/>
      <c r="V11" s="27">
        <f>(N11-H11)/H11</f>
        <v>-0.12578840054301174</v>
      </c>
      <c r="Y11" s="9"/>
      <c r="Z11" s="27">
        <f t="shared" si="6"/>
        <v>1</v>
      </c>
      <c r="AA11" s="27">
        <f t="shared" si="7"/>
        <v>1</v>
      </c>
    </row>
    <row r="12" spans="1:28" ht="20" customHeight="1" x14ac:dyDescent="0.3">
      <c r="A12" t="s">
        <v>125</v>
      </c>
      <c r="B12" s="9">
        <v>5</v>
      </c>
      <c r="C12" s="9" t="s">
        <v>128</v>
      </c>
      <c r="D12" s="9">
        <v>1</v>
      </c>
      <c r="E12" s="25" t="s">
        <v>22</v>
      </c>
      <c r="F12" s="13">
        <v>1382</v>
      </c>
      <c r="G12" s="13">
        <v>226</v>
      </c>
      <c r="H12" s="32">
        <f t="shared" si="3"/>
        <v>3.7102031999999998E-4</v>
      </c>
      <c r="I12" s="32">
        <f t="shared" si="4"/>
        <v>3.5201760000000003E-5</v>
      </c>
      <c r="J12" s="21">
        <v>4.0032866150150812E-4</v>
      </c>
      <c r="K12" s="21">
        <v>1.2872304228344312E-5</v>
      </c>
      <c r="L12" s="22">
        <v>-312.74279999999999</v>
      </c>
      <c r="M12" s="13">
        <f t="shared" si="9"/>
        <v>0.73143801423523203</v>
      </c>
      <c r="N12" s="22">
        <f>(4*(R12*(1+F12/1000))-J12*M12)/3</f>
        <v>3.9708855959662948E-4</v>
      </c>
      <c r="O12" s="13">
        <f t="shared" si="8"/>
        <v>4.7040491126880006E-5</v>
      </c>
      <c r="P12" s="23">
        <f t="shared" si="1"/>
        <v>1549.3615793312113</v>
      </c>
      <c r="Q12" s="23">
        <f t="shared" si="2"/>
        <v>302.00623476425267</v>
      </c>
      <c r="R12" s="12">
        <v>1.5576000000000001E-4</v>
      </c>
      <c r="S12" s="9">
        <v>3</v>
      </c>
      <c r="T12">
        <v>4</v>
      </c>
      <c r="U12">
        <v>2</v>
      </c>
      <c r="V12" s="27">
        <f>(N12-H12)/H12</f>
        <v>7.0260948501768061E-2</v>
      </c>
      <c r="Y12" s="9">
        <v>-375.09109999999998</v>
      </c>
      <c r="Z12" s="27">
        <f t="shared" si="6"/>
        <v>0.6872266695895668</v>
      </c>
      <c r="AA12" s="27">
        <f t="shared" si="7"/>
        <v>0.67248955470767846</v>
      </c>
    </row>
    <row r="13" spans="1:28" ht="20" customHeight="1" x14ac:dyDescent="0.3">
      <c r="A13" t="s">
        <v>123</v>
      </c>
      <c r="B13" s="9">
        <v>5</v>
      </c>
      <c r="C13" s="9" t="s">
        <v>128</v>
      </c>
      <c r="D13" s="9">
        <v>2</v>
      </c>
      <c r="E13" s="25" t="s">
        <v>24</v>
      </c>
      <c r="F13" s="13">
        <v>1528</v>
      </c>
      <c r="G13" s="13">
        <v>113</v>
      </c>
      <c r="H13" s="32">
        <f t="shared" si="3"/>
        <v>3.9376128000000003E-4</v>
      </c>
      <c r="I13" s="32">
        <f t="shared" si="4"/>
        <v>1.7600880000000001E-5</v>
      </c>
      <c r="J13" s="21">
        <v>4.0032866150150812E-4</v>
      </c>
      <c r="K13" s="21">
        <v>1.2872304228344312E-5</v>
      </c>
      <c r="L13" s="21">
        <v>-312.67140000000001</v>
      </c>
      <c r="M13" s="13">
        <f t="shared" si="9"/>
        <v>0.73149024077391367</v>
      </c>
      <c r="N13" s="22">
        <f>(4*(R13*(1+F13/1000))-J13*M13)/3</f>
        <v>4.2740287033652113E-4</v>
      </c>
      <c r="O13" s="13">
        <f t="shared" si="8"/>
        <v>2.3676796010139956E-5</v>
      </c>
      <c r="P13" s="23">
        <f t="shared" si="1"/>
        <v>1743.9835024173158</v>
      </c>
      <c r="Q13" s="23">
        <f t="shared" si="2"/>
        <v>152.00819215549532</v>
      </c>
      <c r="R13" s="12">
        <v>1.5576000000000001E-4</v>
      </c>
      <c r="S13" s="9">
        <v>4</v>
      </c>
      <c r="T13">
        <v>4</v>
      </c>
      <c r="U13">
        <v>2</v>
      </c>
      <c r="V13" s="27">
        <f>(N13-H13)/H13</f>
        <v>8.5436512032166012E-2</v>
      </c>
      <c r="Y13" s="28">
        <v>-375.08920000000001</v>
      </c>
      <c r="Z13" s="27">
        <f t="shared" si="6"/>
        <v>0.68722797532147939</v>
      </c>
      <c r="AA13" s="27">
        <f t="shared" si="7"/>
        <v>0.67247388683733467</v>
      </c>
    </row>
    <row r="14" spans="1:28" ht="20" customHeight="1" x14ac:dyDescent="0.3">
      <c r="A14" t="s">
        <v>123</v>
      </c>
      <c r="B14" s="9">
        <v>5</v>
      </c>
      <c r="C14" s="9" t="s">
        <v>128</v>
      </c>
      <c r="D14" s="9">
        <v>3</v>
      </c>
      <c r="E14" s="9" t="s">
        <v>13</v>
      </c>
      <c r="F14" s="9">
        <v>2286</v>
      </c>
      <c r="G14" s="9">
        <v>367</v>
      </c>
      <c r="H14" s="32">
        <f t="shared" si="3"/>
        <v>5.1182736000000004E-4</v>
      </c>
      <c r="I14" s="32">
        <f t="shared" si="4"/>
        <v>5.7163920000000005E-5</v>
      </c>
      <c r="J14" s="13">
        <v>4.0032866150150812E-4</v>
      </c>
      <c r="K14" s="13">
        <v>1.2872304228344312E-5</v>
      </c>
      <c r="L14" s="9">
        <v>-369.47019999999998</v>
      </c>
      <c r="M14" s="13">
        <f t="shared" si="9"/>
        <v>0.691100378643281</v>
      </c>
      <c r="N14" s="22">
        <f>(4*(R14*(1+F14/1000))-2*J14*M14)/2</f>
        <v>7.4698743045455E-4</v>
      </c>
      <c r="O14" s="13">
        <f>SQRT(((R14/(500))^2*(G14^2)) + ((M14)^2*(K14^2)))</f>
        <v>1.1467342665866694E-4</v>
      </c>
      <c r="P14" s="23">
        <f t="shared" si="1"/>
        <v>3795.7590553065606</v>
      </c>
      <c r="Q14" s="23">
        <f t="shared" si="2"/>
        <v>736.21871249786159</v>
      </c>
      <c r="R14" s="12">
        <v>1.5576000000000001E-4</v>
      </c>
      <c r="S14" s="9">
        <v>2</v>
      </c>
      <c r="T14">
        <v>4</v>
      </c>
      <c r="U14">
        <v>2</v>
      </c>
      <c r="V14" s="27">
        <f>(N14-H14)/H14</f>
        <v>0.45945193405555718</v>
      </c>
      <c r="Y14" s="9">
        <v>-318.20209999999997</v>
      </c>
      <c r="Z14" s="27">
        <f t="shared" si="6"/>
        <v>0.72745575474930924</v>
      </c>
      <c r="AA14" s="27">
        <f t="shared" si="7"/>
        <v>0.73957421345131868</v>
      </c>
    </row>
    <row r="15" spans="1:28" ht="20" customHeight="1" x14ac:dyDescent="0.3">
      <c r="A15" t="s">
        <v>123</v>
      </c>
      <c r="B15" s="9">
        <v>5</v>
      </c>
      <c r="C15" s="9" t="s">
        <v>128</v>
      </c>
      <c r="D15" s="9">
        <v>4</v>
      </c>
      <c r="E15" s="26" t="s">
        <v>30</v>
      </c>
      <c r="F15" s="13">
        <v>2165</v>
      </c>
      <c r="G15" s="13">
        <v>307</v>
      </c>
      <c r="H15" s="32">
        <f t="shared" si="3"/>
        <v>4.929804000000001E-4</v>
      </c>
      <c r="I15" s="32">
        <f t="shared" si="4"/>
        <v>4.7818320000000004E-5</v>
      </c>
      <c r="J15" s="21">
        <v>4.0032866150150812E-4</v>
      </c>
      <c r="K15" s="21">
        <v>1.2872304228344312E-5</v>
      </c>
      <c r="L15" s="13">
        <v>-149.7405</v>
      </c>
      <c r="M15" s="13">
        <f t="shared" si="9"/>
        <v>0.86093135912759222</v>
      </c>
      <c r="N15" s="22">
        <f>(8*(R15*(1+F15/1000))-J15*M15)/7</f>
        <v>5.1416967162225388E-4</v>
      </c>
      <c r="O15" s="13">
        <f>SQRT(((8*R15/(7*1000))^2*(G15^2)) + ((M15/7)^2*(K15^2)))</f>
        <v>5.4672435518003281E-5</v>
      </c>
      <c r="P15" s="23">
        <f t="shared" si="1"/>
        <v>2301.0379534043004</v>
      </c>
      <c r="Q15" s="23">
        <f t="shared" si="2"/>
        <v>351.00433691578888</v>
      </c>
      <c r="R15" s="12">
        <v>1.5576000000000001E-4</v>
      </c>
      <c r="S15" s="9">
        <v>5</v>
      </c>
      <c r="T15">
        <v>4</v>
      </c>
      <c r="U15">
        <v>2</v>
      </c>
      <c r="V15" s="27">
        <f>(N15-H15)/H15</f>
        <v>4.2981975799146949E-2</v>
      </c>
      <c r="Y15" s="9">
        <v>-346.4067</v>
      </c>
      <c r="Z15" s="27">
        <f t="shared" si="6"/>
        <v>0.70722480028307644</v>
      </c>
      <c r="AA15" s="27">
        <f t="shared" si="7"/>
        <v>0.65598928066823781</v>
      </c>
    </row>
    <row r="16" spans="1:28" ht="20" customHeight="1" x14ac:dyDescent="0.3">
      <c r="A16" t="s">
        <v>123</v>
      </c>
      <c r="B16" s="9">
        <v>5</v>
      </c>
      <c r="C16" s="9" t="s">
        <v>128</v>
      </c>
      <c r="D16" s="9">
        <v>5</v>
      </c>
      <c r="E16" s="26" t="s">
        <v>43</v>
      </c>
      <c r="F16" s="13">
        <v>2086</v>
      </c>
      <c r="G16" s="13">
        <v>345</v>
      </c>
      <c r="H16" s="32">
        <f t="shared" si="3"/>
        <v>4.8067536000000004E-4</v>
      </c>
      <c r="I16" s="32">
        <f t="shared" si="4"/>
        <v>5.3737200000000004E-5</v>
      </c>
      <c r="J16" s="21">
        <v>4.0032866150150812E-4</v>
      </c>
      <c r="K16" s="21">
        <v>1.2872304228344312E-5</v>
      </c>
      <c r="L16" s="13">
        <v>-278.6789</v>
      </c>
      <c r="M16" s="13">
        <f t="shared" si="9"/>
        <v>0.75678286718374732</v>
      </c>
      <c r="N16" s="22">
        <f>(8*(R16*(1+F16/1000))-J16*M16)/7</f>
        <v>5.060630011047225E-4</v>
      </c>
      <c r="O16" s="13">
        <f>SQRT(((8*R16/(7*1000))^2*(G16^2)) + ((M16/7)^2*(K16^2)))</f>
        <v>6.1429708307372821E-5</v>
      </c>
      <c r="P16" s="23">
        <f t="shared" si="1"/>
        <v>2248.9920461268775</v>
      </c>
      <c r="Q16" s="23">
        <f t="shared" si="2"/>
        <v>394.38693058148959</v>
      </c>
      <c r="R16" s="12">
        <v>1.5576000000000001E-4</v>
      </c>
      <c r="S16" s="9">
        <v>6</v>
      </c>
      <c r="T16">
        <v>4</v>
      </c>
      <c r="U16">
        <v>2</v>
      </c>
      <c r="V16" s="27">
        <f>(N16-H16)/H16</f>
        <v>5.2816606003524821E-2</v>
      </c>
      <c r="Y16" s="9">
        <v>-365.51690000000002</v>
      </c>
      <c r="Z16" s="27">
        <f t="shared" si="6"/>
        <v>0.69383791335284084</v>
      </c>
      <c r="AA16" s="27">
        <f t="shared" si="7"/>
        <v>0.67285626207587201</v>
      </c>
    </row>
    <row r="17" spans="1:27" ht="20" hidden="1" customHeight="1" x14ac:dyDescent="0.3">
      <c r="A17" t="s">
        <v>123</v>
      </c>
      <c r="B17" s="9">
        <v>6</v>
      </c>
      <c r="C17" s="9" t="s">
        <v>46</v>
      </c>
      <c r="D17" s="9"/>
      <c r="E17" s="19" t="s">
        <v>4</v>
      </c>
      <c r="F17" s="9">
        <v>1070</v>
      </c>
      <c r="G17" s="9">
        <v>82</v>
      </c>
      <c r="H17" s="32">
        <f t="shared" si="3"/>
        <v>3.2242320000000008E-4</v>
      </c>
      <c r="I17" s="32">
        <f t="shared" si="4"/>
        <v>1.2772319999999999E-5</v>
      </c>
      <c r="J17" s="13">
        <v>4.4409449587787882E-4</v>
      </c>
      <c r="K17" s="13">
        <v>1.7592149112070558E-5</v>
      </c>
      <c r="L17" s="24"/>
      <c r="M17" s="13">
        <f t="shared" si="9"/>
        <v>1</v>
      </c>
      <c r="N17" s="22">
        <f>(4*(R17*(1+F17/1000))-J17*M17)/3</f>
        <v>2.8186610137404048E-4</v>
      </c>
      <c r="O17" s="13">
        <f t="shared" si="8"/>
        <v>1.8011102259130574E-5</v>
      </c>
      <c r="P17" s="23">
        <f t="shared" si="1"/>
        <v>809.61801087596609</v>
      </c>
      <c r="Q17" s="23">
        <f t="shared" si="2"/>
        <v>115.6336816841973</v>
      </c>
      <c r="R17" s="12">
        <v>1.5576000000000001E-4</v>
      </c>
      <c r="S17" s="9"/>
      <c r="V17" s="27">
        <f>(N17-H17)/H17</f>
        <v>-0.12578840054301174</v>
      </c>
      <c r="Y17" s="9"/>
      <c r="Z17" s="27">
        <f t="shared" si="6"/>
        <v>1</v>
      </c>
      <c r="AA17" s="27">
        <f t="shared" si="7"/>
        <v>1</v>
      </c>
    </row>
    <row r="18" spans="1:27" ht="20" customHeight="1" x14ac:dyDescent="0.3">
      <c r="A18" t="s">
        <v>123</v>
      </c>
      <c r="B18" s="9">
        <v>6</v>
      </c>
      <c r="C18" s="9" t="s">
        <v>158</v>
      </c>
      <c r="D18" s="9">
        <v>1</v>
      </c>
      <c r="E18" s="25" t="s">
        <v>22</v>
      </c>
      <c r="F18" s="13">
        <v>1693</v>
      </c>
      <c r="G18" s="13">
        <v>90</v>
      </c>
      <c r="H18" s="32">
        <f t="shared" si="3"/>
        <v>4.1946168000000004E-4</v>
      </c>
      <c r="I18" s="32">
        <f t="shared" si="4"/>
        <v>1.4018399999999999E-5</v>
      </c>
      <c r="J18" s="21">
        <v>4.4409449587787882E-4</v>
      </c>
      <c r="K18" s="21">
        <v>1.7592149112070558E-5</v>
      </c>
      <c r="L18" s="22">
        <v>-312.74279999999999</v>
      </c>
      <c r="M18" s="13">
        <f t="shared" si="9"/>
        <v>0.73143801423523203</v>
      </c>
      <c r="N18" s="22">
        <f>(4*(R18*(1+F18/1000))-J18*M18)/3</f>
        <v>4.5100637460076268E-4</v>
      </c>
      <c r="O18" s="13">
        <f t="shared" si="8"/>
        <v>1.9177020065957762E-5</v>
      </c>
      <c r="P18" s="23">
        <f t="shared" si="1"/>
        <v>1895.5211517768532</v>
      </c>
      <c r="Q18" s="23">
        <f t="shared" si="2"/>
        <v>123.11902969926658</v>
      </c>
      <c r="R18" s="12">
        <v>1.5576000000000001E-4</v>
      </c>
      <c r="S18" s="9">
        <v>3</v>
      </c>
      <c r="T18">
        <v>5</v>
      </c>
      <c r="U18">
        <v>2</v>
      </c>
      <c r="V18" s="27">
        <f>(N18-H18)/H18</f>
        <v>7.5202804224601974E-2</v>
      </c>
      <c r="Y18" s="9">
        <v>-375.09109999999998</v>
      </c>
      <c r="Z18" s="27">
        <f t="shared" si="6"/>
        <v>0.6872266695895668</v>
      </c>
      <c r="AA18" s="27">
        <f t="shared" si="7"/>
        <v>0.67248955470767846</v>
      </c>
    </row>
    <row r="19" spans="1:27" ht="20" customHeight="1" x14ac:dyDescent="0.3">
      <c r="A19" t="s">
        <v>123</v>
      </c>
      <c r="B19" s="9">
        <v>6</v>
      </c>
      <c r="C19" s="9" t="s">
        <v>155</v>
      </c>
      <c r="D19" s="9">
        <v>2</v>
      </c>
      <c r="E19" s="25" t="s">
        <v>24</v>
      </c>
      <c r="F19" s="13">
        <v>1564</v>
      </c>
      <c r="G19" s="13">
        <v>80</v>
      </c>
      <c r="H19" s="32">
        <f t="shared" si="3"/>
        <v>3.9936864000000003E-4</v>
      </c>
      <c r="I19" s="32">
        <f t="shared" si="4"/>
        <v>1.2460800000000001E-5</v>
      </c>
      <c r="J19" s="21">
        <v>4.4409449587787882E-4</v>
      </c>
      <c r="K19" s="21">
        <v>1.7592149112070558E-5</v>
      </c>
      <c r="L19" s="21">
        <v>-312.67140000000001</v>
      </c>
      <c r="M19" s="13">
        <f t="shared" si="9"/>
        <v>0.73149024077391367</v>
      </c>
      <c r="N19" s="22">
        <f>(4*(R19*(1+F19/1000))-J19*M19)/3</f>
        <v>4.2420792342797359E-4</v>
      </c>
      <c r="O19" s="13">
        <f t="shared" si="8"/>
        <v>1.7159197412160349E-5</v>
      </c>
      <c r="P19" s="23">
        <f t="shared" si="1"/>
        <v>1723.4715166151359</v>
      </c>
      <c r="Q19" s="23">
        <f t="shared" si="2"/>
        <v>110.16433880431656</v>
      </c>
      <c r="R19" s="12">
        <v>1.5576000000000001E-4</v>
      </c>
      <c r="S19" s="9">
        <v>4</v>
      </c>
      <c r="T19">
        <v>5</v>
      </c>
      <c r="U19">
        <v>2</v>
      </c>
      <c r="V19" s="27">
        <f>(N19-H19)/H19</f>
        <v>6.2196379335076359E-2</v>
      </c>
      <c r="Y19" s="28">
        <v>-375.08920000000001</v>
      </c>
      <c r="Z19" s="27">
        <f t="shared" si="6"/>
        <v>0.68722797532147939</v>
      </c>
      <c r="AA19" s="27">
        <f t="shared" si="7"/>
        <v>0.67247388683733467</v>
      </c>
    </row>
    <row r="20" spans="1:27" ht="20" customHeight="1" x14ac:dyDescent="0.3">
      <c r="A20" t="s">
        <v>123</v>
      </c>
      <c r="B20" s="9">
        <v>6</v>
      </c>
      <c r="C20" s="9" t="s">
        <v>155</v>
      </c>
      <c r="D20" s="9">
        <v>3</v>
      </c>
      <c r="E20" s="9" t="s">
        <v>13</v>
      </c>
      <c r="F20" s="9">
        <v>3462</v>
      </c>
      <c r="G20" s="9">
        <v>70</v>
      </c>
      <c r="H20" s="32">
        <f t="shared" si="3"/>
        <v>6.9500112000000006E-4</v>
      </c>
      <c r="I20" s="32">
        <f t="shared" si="4"/>
        <v>1.0903200000000003E-5</v>
      </c>
      <c r="J20" s="13">
        <v>4.4409449587787882E-4</v>
      </c>
      <c r="K20" s="13">
        <v>1.7592149112070558E-5</v>
      </c>
      <c r="L20" s="9">
        <v>-369.47019999999998</v>
      </c>
      <c r="M20" s="13">
        <f t="shared" si="9"/>
        <v>0.691100378643281</v>
      </c>
      <c r="N20" s="22">
        <f>(4*(R20*(1+F20/1000))-2*J20*M20)/2</f>
        <v>1.083088365745401E-3</v>
      </c>
      <c r="O20" s="13">
        <f>SQRT(((R20/(500))^2*(G20^2)) + ((M20)^2*(K20^2)))</f>
        <v>2.4966669945987318E-5</v>
      </c>
      <c r="P20" s="23">
        <f t="shared" si="1"/>
        <v>5953.5719423818755</v>
      </c>
      <c r="Q20" s="23">
        <f t="shared" si="2"/>
        <v>160.28935507182408</v>
      </c>
      <c r="R20" s="12">
        <v>1.5576000000000001E-4</v>
      </c>
      <c r="S20" s="9">
        <v>2</v>
      </c>
      <c r="T20">
        <v>5</v>
      </c>
      <c r="U20">
        <v>2</v>
      </c>
      <c r="V20" s="27">
        <f>(N20-H20)/H20</f>
        <v>0.55839801487715723</v>
      </c>
      <c r="Y20" s="9">
        <v>-318.20209999999997</v>
      </c>
      <c r="Z20" s="27">
        <f t="shared" si="6"/>
        <v>0.72745575474930924</v>
      </c>
      <c r="AA20" s="27">
        <f t="shared" si="7"/>
        <v>0.73957421345131868</v>
      </c>
    </row>
    <row r="21" spans="1:27" ht="20" customHeight="1" x14ac:dyDescent="0.3">
      <c r="A21" t="s">
        <v>123</v>
      </c>
      <c r="B21" s="9">
        <v>6</v>
      </c>
      <c r="C21" s="9" t="s">
        <v>155</v>
      </c>
      <c r="D21" s="9">
        <v>4</v>
      </c>
      <c r="E21" s="25" t="s">
        <v>30</v>
      </c>
      <c r="F21" s="13">
        <v>2018</v>
      </c>
      <c r="G21" s="13">
        <v>105</v>
      </c>
      <c r="H21" s="32">
        <f t="shared" si="3"/>
        <v>4.7008367999999999E-4</v>
      </c>
      <c r="I21" s="32">
        <f t="shared" si="4"/>
        <v>1.6354800000000001E-5</v>
      </c>
      <c r="J21" s="21">
        <v>4.4409449587787882E-4</v>
      </c>
      <c r="K21" s="21">
        <v>1.7592149112070558E-5</v>
      </c>
      <c r="L21" s="13">
        <v>-149.7405</v>
      </c>
      <c r="M21" s="13">
        <f t="shared" si="9"/>
        <v>0.86093135912759222</v>
      </c>
      <c r="N21" s="22">
        <f>(8*(R21*(1+F21/1000))-J21*M21)/7</f>
        <v>4.8261922315468207E-4</v>
      </c>
      <c r="O21" s="13">
        <f>SQRT(((8*R21/(7*1000))^2*(G21^2)) + ((M21/7)^2*(K21^2)))</f>
        <v>1.8816014189414672E-5</v>
      </c>
      <c r="P21" s="23">
        <f t="shared" si="1"/>
        <v>2098.4798610341682</v>
      </c>
      <c r="Q21" s="23">
        <f t="shared" si="2"/>
        <v>120.80132376357648</v>
      </c>
      <c r="R21" s="12">
        <v>1.5576000000000001E-4</v>
      </c>
      <c r="S21" s="9">
        <v>5</v>
      </c>
      <c r="T21">
        <v>5</v>
      </c>
      <c r="U21">
        <v>2</v>
      </c>
      <c r="V21" s="27">
        <f>(N21-H21)/H21</f>
        <v>2.6666620620996843E-2</v>
      </c>
      <c r="Y21" s="9">
        <v>-346.4067</v>
      </c>
      <c r="Z21" s="27">
        <f t="shared" si="6"/>
        <v>0.70722480028307644</v>
      </c>
      <c r="AA21" s="27">
        <f t="shared" si="7"/>
        <v>0.65598928066823781</v>
      </c>
    </row>
    <row r="22" spans="1:27" ht="20" customHeight="1" x14ac:dyDescent="0.3">
      <c r="A22" t="s">
        <v>123</v>
      </c>
      <c r="B22" s="9">
        <v>6</v>
      </c>
      <c r="C22" s="9" t="s">
        <v>155</v>
      </c>
      <c r="D22" s="9">
        <v>5</v>
      </c>
      <c r="E22" s="25" t="s">
        <v>43</v>
      </c>
      <c r="F22" s="13">
        <v>3307</v>
      </c>
      <c r="G22" s="13">
        <v>283</v>
      </c>
      <c r="H22" s="32">
        <f t="shared" si="3"/>
        <v>6.7085832000000011E-4</v>
      </c>
      <c r="I22" s="32">
        <f t="shared" si="4"/>
        <v>4.4080080000000004E-5</v>
      </c>
      <c r="J22" s="21">
        <v>4.4409449587787882E-4</v>
      </c>
      <c r="K22" s="21">
        <v>1.7592149112070558E-5</v>
      </c>
      <c r="L22" s="13">
        <v>-278.6789</v>
      </c>
      <c r="M22" s="13">
        <f t="shared" si="9"/>
        <v>0.75678286718374732</v>
      </c>
      <c r="N22" s="22">
        <f>(8*(R22*(1+F22/1000))-J22*M22)/7</f>
        <v>7.186833505870027E-4</v>
      </c>
      <c r="O22" s="13">
        <f>SQRT(((8*R22/(7*1000))^2*(G22^2)) + ((M22/7)^2*(K22^2)))</f>
        <v>5.0413123612392444E-5</v>
      </c>
      <c r="P22" s="23">
        <f t="shared" si="1"/>
        <v>3614.0430828646799</v>
      </c>
      <c r="Q22" s="23">
        <f t="shared" si="2"/>
        <v>323.658985698462</v>
      </c>
      <c r="R22" s="12">
        <v>1.5576000000000001E-4</v>
      </c>
      <c r="S22" s="9">
        <v>6</v>
      </c>
      <c r="T22">
        <v>5</v>
      </c>
      <c r="U22">
        <v>2</v>
      </c>
      <c r="V22" s="27">
        <f>(N22-H22)/H22</f>
        <v>7.1289315733615077E-2</v>
      </c>
      <c r="Y22" s="9">
        <v>-365.51690000000002</v>
      </c>
      <c r="Z22" s="27">
        <f t="shared" si="6"/>
        <v>0.69383791335284084</v>
      </c>
      <c r="AA22" s="27">
        <f t="shared" si="7"/>
        <v>0.67285626207587201</v>
      </c>
    </row>
    <row r="23" spans="1:27" ht="19.899999999999999" hidden="1" customHeight="1" x14ac:dyDescent="0.3">
      <c r="A23" t="s">
        <v>127</v>
      </c>
      <c r="B23" s="9">
        <v>7</v>
      </c>
      <c r="C23" s="9" t="s">
        <v>57</v>
      </c>
      <c r="D23" s="9"/>
      <c r="E23" s="19" t="s">
        <v>4</v>
      </c>
      <c r="F23" s="9">
        <v>1241</v>
      </c>
      <c r="G23" s="9">
        <v>216</v>
      </c>
      <c r="H23" s="32">
        <f t="shared" si="3"/>
        <v>3.4905816000000003E-4</v>
      </c>
      <c r="I23" s="32">
        <f t="shared" si="4"/>
        <v>3.364416000000001E-5</v>
      </c>
      <c r="J23" s="13">
        <v>4.8078056292866005E-4</v>
      </c>
      <c r="K23" s="13">
        <v>4.634029522203953E-5</v>
      </c>
      <c r="L23" s="18"/>
      <c r="M23" s="13">
        <f t="shared" si="9"/>
        <v>1</v>
      </c>
      <c r="N23" s="22">
        <f>(4*(R23*(1+F23/1000))-J23*M23)/3</f>
        <v>3.0515069235711334E-4</v>
      </c>
      <c r="O23" s="13">
        <f t="shared" si="8"/>
        <v>4.7443879121612238E-5</v>
      </c>
      <c r="P23" s="23">
        <f t="shared" si="1"/>
        <v>959.10819438311057</v>
      </c>
      <c r="Q23" s="23">
        <f t="shared" si="2"/>
        <v>304.59603955837332</v>
      </c>
      <c r="R23" s="12">
        <v>1.5576000000000001E-4</v>
      </c>
      <c r="S23" s="9"/>
      <c r="V23" s="27">
        <f>(N23-H23)/H23</f>
        <v>-0.12578840054301177</v>
      </c>
      <c r="Y23" s="9"/>
      <c r="Z23" s="27">
        <f t="shared" si="6"/>
        <v>1</v>
      </c>
      <c r="AA23" s="27">
        <f t="shared" si="7"/>
        <v>1</v>
      </c>
    </row>
    <row r="24" spans="1:27" ht="20" customHeight="1" x14ac:dyDescent="0.3">
      <c r="A24" t="s">
        <v>127</v>
      </c>
      <c r="B24" s="9">
        <v>7</v>
      </c>
      <c r="C24" s="9" t="s">
        <v>154</v>
      </c>
      <c r="D24" s="9">
        <v>1</v>
      </c>
      <c r="E24" s="13" t="s">
        <v>22</v>
      </c>
      <c r="F24" s="13">
        <v>2204</v>
      </c>
      <c r="G24" s="13">
        <v>53</v>
      </c>
      <c r="H24" s="32">
        <f t="shared" si="3"/>
        <v>4.9905504000000004E-4</v>
      </c>
      <c r="I24" s="32">
        <f t="shared" si="4"/>
        <v>8.2552800000000007E-6</v>
      </c>
      <c r="J24" s="21">
        <v>4.8078056292866005E-4</v>
      </c>
      <c r="K24" s="21">
        <v>4.634029522203953E-5</v>
      </c>
      <c r="L24" s="22">
        <v>-312.74279999999999</v>
      </c>
      <c r="M24" s="13">
        <f t="shared" si="9"/>
        <v>0.73143801423523203</v>
      </c>
      <c r="N24" s="22">
        <f>(4*(R24*(1+F24/1000))-J24*M24)/3</f>
        <v>5.4818632658952136E-4</v>
      </c>
      <c r="O24" s="13">
        <f t="shared" si="8"/>
        <v>1.5773638412540256E-5</v>
      </c>
      <c r="P24" s="23">
        <f t="shared" si="1"/>
        <v>2519.4294208366805</v>
      </c>
      <c r="Q24" s="23">
        <f t="shared" si="2"/>
        <v>101.26886500090045</v>
      </c>
      <c r="R24" s="12">
        <v>1.5576000000000001E-4</v>
      </c>
      <c r="S24" s="9">
        <v>3</v>
      </c>
      <c r="T24">
        <v>6</v>
      </c>
      <c r="U24">
        <v>3</v>
      </c>
      <c r="V24" s="27">
        <f>(N24-H24)/H24</f>
        <v>9.8448633219937659E-2</v>
      </c>
      <c r="Y24" s="9">
        <v>-375.09109999999998</v>
      </c>
      <c r="Z24" s="27">
        <f t="shared" si="6"/>
        <v>0.6872266695895668</v>
      </c>
      <c r="AA24" s="27">
        <f t="shared" si="7"/>
        <v>0.67248955470767846</v>
      </c>
    </row>
    <row r="25" spans="1:27" ht="20" customHeight="1" x14ac:dyDescent="0.3">
      <c r="A25" t="s">
        <v>126</v>
      </c>
      <c r="B25" s="9">
        <v>7</v>
      </c>
      <c r="C25" s="9" t="s">
        <v>154</v>
      </c>
      <c r="D25" s="9">
        <v>2</v>
      </c>
      <c r="E25" s="13" t="s">
        <v>24</v>
      </c>
      <c r="F25" s="13">
        <v>2311</v>
      </c>
      <c r="G25" s="13">
        <v>493</v>
      </c>
      <c r="H25" s="32">
        <f t="shared" si="3"/>
        <v>5.1572135999999999E-4</v>
      </c>
      <c r="I25" s="32">
        <f t="shared" si="4"/>
        <v>7.6789680000000006E-5</v>
      </c>
      <c r="J25" s="21">
        <v>4.8078056292866005E-4</v>
      </c>
      <c r="K25" s="21">
        <v>4.634029522203953E-5</v>
      </c>
      <c r="L25" s="21">
        <v>-312.67140000000001</v>
      </c>
      <c r="M25" s="13">
        <f t="shared" si="9"/>
        <v>0.73149024077391367</v>
      </c>
      <c r="N25" s="22">
        <f>(4*(R25*(1+F25/1000))-J25*M25)/3</f>
        <v>5.7039971675463218E-4</v>
      </c>
      <c r="O25" s="13">
        <f t="shared" si="8"/>
        <v>1.030078303366221E-4</v>
      </c>
      <c r="P25" s="23">
        <f t="shared" si="1"/>
        <v>2662.0423520456607</v>
      </c>
      <c r="Q25" s="23">
        <f t="shared" si="2"/>
        <v>661.32402630086085</v>
      </c>
      <c r="R25" s="12">
        <v>1.5576000000000001E-4</v>
      </c>
      <c r="S25" s="9">
        <v>4</v>
      </c>
      <c r="T25">
        <v>6</v>
      </c>
      <c r="U25">
        <v>3</v>
      </c>
      <c r="V25" s="27">
        <f>(N25-H25)/H25</f>
        <v>0.10602306011647877</v>
      </c>
      <c r="Y25" s="28">
        <v>-375.08920000000001</v>
      </c>
      <c r="Z25" s="27">
        <f t="shared" si="6"/>
        <v>0.68722797532147939</v>
      </c>
      <c r="AA25" s="27">
        <f t="shared" si="7"/>
        <v>0.67247388683733467</v>
      </c>
    </row>
    <row r="26" spans="1:27" ht="20" customHeight="1" x14ac:dyDescent="0.3">
      <c r="A26" t="s">
        <v>126</v>
      </c>
      <c r="B26" s="9">
        <v>7</v>
      </c>
      <c r="C26" s="9" t="s">
        <v>154</v>
      </c>
      <c r="D26" s="9">
        <v>3</v>
      </c>
      <c r="E26" s="9" t="s">
        <v>13</v>
      </c>
      <c r="F26" s="9">
        <v>2253</v>
      </c>
      <c r="G26" s="9">
        <v>112</v>
      </c>
      <c r="H26" s="32">
        <f t="shared" si="3"/>
        <v>5.066872800000001E-4</v>
      </c>
      <c r="I26" s="32">
        <f t="shared" si="4"/>
        <v>1.7445120000000001E-5</v>
      </c>
      <c r="J26" s="13">
        <v>4.8078056292866005E-4</v>
      </c>
      <c r="K26" s="13">
        <v>4.634029522203953E-5</v>
      </c>
      <c r="L26" s="9">
        <v>-369.47019999999998</v>
      </c>
      <c r="M26" s="13">
        <f t="shared" si="9"/>
        <v>0.691100378643281</v>
      </c>
      <c r="N26" s="22">
        <f>(4*(R26*(1+F26/1000))-2*J26*M26)/2</f>
        <v>6.8110693091567344E-4</v>
      </c>
      <c r="O26" s="13">
        <f>SQRT(((R26/(500))^2*(G26^2)) + ((M26)^2*(K26^2)))</f>
        <v>4.7360114330841805E-5</v>
      </c>
      <c r="P26" s="23">
        <f t="shared" si="1"/>
        <v>3372.7974506655964</v>
      </c>
      <c r="Q26" s="23">
        <f t="shared" si="2"/>
        <v>304.05825841577945</v>
      </c>
      <c r="R26" s="12">
        <v>1.5576000000000001E-4</v>
      </c>
      <c r="S26" s="9">
        <v>2</v>
      </c>
      <c r="T26">
        <v>6</v>
      </c>
      <c r="U26">
        <v>3</v>
      </c>
      <c r="V26" s="27">
        <f>(N26-H26)/H26</f>
        <v>0.3442353060761133</v>
      </c>
      <c r="Y26" s="9">
        <v>-318.20209999999997</v>
      </c>
      <c r="Z26" s="27">
        <f t="shared" si="6"/>
        <v>0.72745575474930924</v>
      </c>
      <c r="AA26" s="27">
        <f t="shared" si="7"/>
        <v>0.73957421345131868</v>
      </c>
    </row>
    <row r="27" spans="1:27" ht="20" hidden="1" customHeight="1" x14ac:dyDescent="0.3">
      <c r="A27" t="s">
        <v>126</v>
      </c>
      <c r="B27" s="9">
        <v>7</v>
      </c>
      <c r="C27" s="9" t="s">
        <v>154</v>
      </c>
      <c r="D27" s="9">
        <v>4</v>
      </c>
      <c r="E27" s="13" t="s">
        <v>30</v>
      </c>
      <c r="F27" s="13">
        <v>736</v>
      </c>
      <c r="G27" s="13">
        <v>39</v>
      </c>
      <c r="H27" s="32">
        <f t="shared" si="3"/>
        <v>2.7039936000000002E-4</v>
      </c>
      <c r="I27" s="32">
        <f t="shared" si="4"/>
        <v>6.0746400000000014E-6</v>
      </c>
      <c r="J27" s="21">
        <v>4.8078056292866005E-4</v>
      </c>
      <c r="K27" s="21">
        <v>4.634029522203953E-5</v>
      </c>
      <c r="L27" s="13">
        <v>-149.7405</v>
      </c>
      <c r="M27" s="13">
        <f t="shared" si="9"/>
        <v>0.86093135912759222</v>
      </c>
      <c r="N27" s="22">
        <f>(8*(R27*(1+F27/1000))-J27*M27)/7</f>
        <v>2.4989654521652855E-4</v>
      </c>
      <c r="O27" s="13">
        <f>SQRT(((8*R27/(7*1000))^2*(G27^2)) + ((M27/7)^2*(K27^2)))</f>
        <v>8.9822455205534557E-6</v>
      </c>
      <c r="P27" s="23">
        <f t="shared" si="1"/>
        <v>604.36919116928948</v>
      </c>
      <c r="Q27" s="23">
        <f t="shared" ref="Q27:Q42" si="10">(1000*O27/R27)</f>
        <v>57.667215720040161</v>
      </c>
      <c r="R27" s="12">
        <v>1.5576000000000001E-4</v>
      </c>
      <c r="S27" s="9">
        <v>5</v>
      </c>
      <c r="T27">
        <v>6</v>
      </c>
      <c r="U27">
        <v>3</v>
      </c>
      <c r="V27" s="27">
        <f>(N27-H27)/H27</f>
        <v>-7.5824198635201914E-2</v>
      </c>
      <c r="Y27" s="9">
        <v>-346.4067</v>
      </c>
      <c r="Z27" s="27">
        <f t="shared" si="6"/>
        <v>0.70722480028307644</v>
      </c>
      <c r="AA27" s="27">
        <f t="shared" si="7"/>
        <v>0.65598928066823781</v>
      </c>
    </row>
    <row r="28" spans="1:27" ht="20" customHeight="1" x14ac:dyDescent="0.3">
      <c r="A28" t="s">
        <v>159</v>
      </c>
      <c r="B28" s="9">
        <v>7</v>
      </c>
      <c r="C28" s="9" t="s">
        <v>154</v>
      </c>
      <c r="D28" s="9">
        <v>5</v>
      </c>
      <c r="E28" s="13" t="s">
        <v>43</v>
      </c>
      <c r="F28" s="13">
        <v>1822</v>
      </c>
      <c r="G28" s="13">
        <v>95</v>
      </c>
      <c r="H28" s="32">
        <f>(F28/1000+1)*R27</f>
        <v>4.3955472000000004E-4</v>
      </c>
      <c r="I28" s="32">
        <f t="shared" si="4"/>
        <v>1.4797200000000001E-5</v>
      </c>
      <c r="J28" s="21">
        <v>4.8078056292866005E-4</v>
      </c>
      <c r="K28" s="21">
        <v>4.634029522203953E-5</v>
      </c>
      <c r="L28" s="13">
        <v>-278.6789</v>
      </c>
      <c r="M28" s="13">
        <f t="shared" si="9"/>
        <v>0.75678286718374732</v>
      </c>
      <c r="N28" s="22">
        <f>(8*(R28*(1+F28/1000))-J28*M28)/7</f>
        <v>4.5037018101437614E-4</v>
      </c>
      <c r="O28" s="13">
        <f>SQRT(((8*R28/(7*1000))^2*(G28^2)) + ((M28/7)^2*(K28^2)))</f>
        <v>1.7637581004993337E-5</v>
      </c>
      <c r="P28" s="23">
        <f t="shared" si="1"/>
        <v>1891.4367039957378</v>
      </c>
      <c r="Q28" s="23">
        <f t="shared" si="10"/>
        <v>113.23562535306456</v>
      </c>
      <c r="R28" s="12">
        <v>1.5576000000000001E-4</v>
      </c>
      <c r="S28" s="9">
        <v>6</v>
      </c>
      <c r="T28">
        <v>6</v>
      </c>
      <c r="U28">
        <v>3</v>
      </c>
      <c r="V28" s="27">
        <f>(N28-H28)/H28</f>
        <v>2.4605493974393218E-2</v>
      </c>
      <c r="Y28" s="9">
        <v>-365.51690000000002</v>
      </c>
      <c r="Z28" s="27">
        <f t="shared" si="6"/>
        <v>0.69383791335284084</v>
      </c>
      <c r="AA28" s="27">
        <f t="shared" si="7"/>
        <v>0.67285626207587201</v>
      </c>
    </row>
    <row r="29" spans="1:27" ht="20" hidden="1" customHeight="1" x14ac:dyDescent="0.3">
      <c r="A29" t="s">
        <v>125</v>
      </c>
      <c r="B29" s="9">
        <v>8</v>
      </c>
      <c r="C29" s="9" t="s">
        <v>128</v>
      </c>
      <c r="D29" s="9"/>
      <c r="E29" s="19" t="s">
        <v>4</v>
      </c>
      <c r="F29" s="9">
        <v>868</v>
      </c>
      <c r="G29" s="9">
        <v>0</v>
      </c>
      <c r="H29" s="32">
        <f t="shared" si="3"/>
        <v>2.9095968000000002E-4</v>
      </c>
      <c r="I29" s="32">
        <f t="shared" si="4"/>
        <v>0</v>
      </c>
      <c r="J29" s="13">
        <v>4.0075773830911953E-4</v>
      </c>
      <c r="K29" s="13">
        <v>0</v>
      </c>
      <c r="L29" s="18"/>
      <c r="M29" s="13">
        <f t="shared" si="9"/>
        <v>1</v>
      </c>
      <c r="N29" s="22">
        <f t="shared" ref="N29:N34" si="11">(4*(R29*(1+F29/1000))-J29*M29)/3</f>
        <v>2.543603272302935E-4</v>
      </c>
      <c r="O29" s="13">
        <f t="shared" si="8"/>
        <v>0</v>
      </c>
      <c r="P29" s="23">
        <f t="shared" si="1"/>
        <v>633.02726778565409</v>
      </c>
      <c r="Q29" s="23">
        <f t="shared" si="10"/>
        <v>0</v>
      </c>
      <c r="R29" s="12">
        <v>1.5576000000000001E-4</v>
      </c>
      <c r="S29" s="9"/>
      <c r="V29" s="27">
        <f>(N29-H29)/H29</f>
        <v>-0.12578840054301171</v>
      </c>
      <c r="Y29" s="9"/>
      <c r="Z29" s="27">
        <f t="shared" si="6"/>
        <v>1</v>
      </c>
      <c r="AA29" s="27">
        <f t="shared" si="7"/>
        <v>1</v>
      </c>
    </row>
    <row r="30" spans="1:27" ht="23.25" hidden="1" customHeight="1" x14ac:dyDescent="0.3">
      <c r="A30" t="s">
        <v>125</v>
      </c>
      <c r="B30" s="9">
        <v>8</v>
      </c>
      <c r="C30" s="9" t="s">
        <v>71</v>
      </c>
      <c r="D30" s="9">
        <v>1</v>
      </c>
      <c r="E30" s="13" t="s">
        <v>22</v>
      </c>
      <c r="F30" s="13">
        <v>1182</v>
      </c>
      <c r="G30" s="13">
        <v>0</v>
      </c>
      <c r="H30" s="32">
        <f t="shared" si="3"/>
        <v>3.3986832000000003E-4</v>
      </c>
      <c r="I30" s="32">
        <f t="shared" si="4"/>
        <v>0</v>
      </c>
      <c r="J30" s="21">
        <v>4.0075773830911953E-4</v>
      </c>
      <c r="K30" s="21">
        <v>0</v>
      </c>
      <c r="L30" s="22">
        <v>-312.74279999999999</v>
      </c>
      <c r="M30" s="13">
        <f t="shared" si="9"/>
        <v>0.73143801423523203</v>
      </c>
      <c r="N30" s="22">
        <f t="shared" si="11"/>
        <v>3.5544794523392499E-4</v>
      </c>
      <c r="O30" s="13">
        <f t="shared" si="8"/>
        <v>0</v>
      </c>
      <c r="P30" s="23">
        <f t="shared" si="1"/>
        <v>1282.0232744859075</v>
      </c>
      <c r="Q30" s="23">
        <f t="shared" si="10"/>
        <v>0</v>
      </c>
      <c r="R30" s="12">
        <v>1.5576000000000001E-4</v>
      </c>
      <c r="S30" s="9">
        <v>3</v>
      </c>
      <c r="T30">
        <v>7</v>
      </c>
      <c r="U30">
        <v>2</v>
      </c>
      <c r="V30" s="27">
        <f>(N30-H30)/H30</f>
        <v>4.5840180790975037E-2</v>
      </c>
      <c r="Y30" s="9">
        <v>-375.09109999999998</v>
      </c>
      <c r="Z30" s="27">
        <f t="shared" si="6"/>
        <v>0.6872266695895668</v>
      </c>
      <c r="AA30" s="27">
        <f t="shared" si="7"/>
        <v>0.67248955470767846</v>
      </c>
    </row>
    <row r="31" spans="1:27" ht="20" hidden="1" customHeight="1" x14ac:dyDescent="0.3">
      <c r="A31" t="s">
        <v>123</v>
      </c>
      <c r="B31" s="9">
        <v>8</v>
      </c>
      <c r="C31" s="9" t="s">
        <v>71</v>
      </c>
      <c r="D31" s="9">
        <v>2</v>
      </c>
      <c r="E31" s="13" t="s">
        <v>24</v>
      </c>
      <c r="F31" s="13">
        <v>1159</v>
      </c>
      <c r="G31" s="13">
        <v>0</v>
      </c>
      <c r="H31" s="32">
        <f t="shared" si="3"/>
        <v>3.3628583999999997E-4</v>
      </c>
      <c r="I31" s="32">
        <f t="shared" si="4"/>
        <v>0</v>
      </c>
      <c r="J31" s="21">
        <v>4.0075773830911953E-4</v>
      </c>
      <c r="K31" s="21">
        <v>0</v>
      </c>
      <c r="L31" s="21">
        <v>-312.67140000000001</v>
      </c>
      <c r="M31" s="13">
        <f t="shared" si="9"/>
        <v>0.73149024077391367</v>
      </c>
      <c r="N31" s="22">
        <f t="shared" si="11"/>
        <v>3.5066432850408433E-4</v>
      </c>
      <c r="O31" s="13">
        <f t="shared" si="8"/>
        <v>0</v>
      </c>
      <c r="P31" s="23">
        <f t="shared" si="1"/>
        <v>1251.3118162820001</v>
      </c>
      <c r="Q31" s="23">
        <f t="shared" si="10"/>
        <v>0</v>
      </c>
      <c r="R31" s="12">
        <v>1.5576000000000001E-4</v>
      </c>
      <c r="S31" s="9">
        <v>4</v>
      </c>
      <c r="T31">
        <v>7</v>
      </c>
      <c r="U31">
        <v>2</v>
      </c>
      <c r="V31" s="27">
        <f>(N31-H31)/H31</f>
        <v>4.2756746772580005E-2</v>
      </c>
      <c r="Y31" s="28">
        <v>-375.08920000000001</v>
      </c>
      <c r="Z31" s="27">
        <f t="shared" si="6"/>
        <v>0.68722797532147939</v>
      </c>
      <c r="AA31" s="27">
        <f t="shared" si="7"/>
        <v>0.67247388683733467</v>
      </c>
    </row>
    <row r="32" spans="1:27" ht="20" hidden="1" customHeight="1" x14ac:dyDescent="0.3">
      <c r="A32" t="s">
        <v>130</v>
      </c>
      <c r="B32" s="9">
        <v>9</v>
      </c>
      <c r="C32" s="9" t="s">
        <v>129</v>
      </c>
      <c r="D32" s="9"/>
      <c r="E32" s="19" t="s">
        <v>76</v>
      </c>
      <c r="F32" s="9">
        <v>975</v>
      </c>
      <c r="G32" s="9">
        <v>128</v>
      </c>
      <c r="H32" s="32">
        <f t="shared" si="3"/>
        <v>3.0762600000000003E-4</v>
      </c>
      <c r="I32" s="32">
        <f t="shared" si="4"/>
        <v>1.9937280000000002E-5</v>
      </c>
      <c r="J32" s="13">
        <v>4.2371334751633362E-4</v>
      </c>
      <c r="K32" s="13">
        <v>2.7460915687134531E-5</v>
      </c>
      <c r="L32" s="9"/>
      <c r="M32" s="13">
        <f t="shared" si="9"/>
        <v>1</v>
      </c>
      <c r="N32" s="22">
        <f t="shared" si="11"/>
        <v>2.6893021749455548E-4</v>
      </c>
      <c r="O32" s="13">
        <f t="shared" si="8"/>
        <v>2.811489133132577E-5</v>
      </c>
      <c r="P32" s="23">
        <f t="shared" si="1"/>
        <v>726.56790892755168</v>
      </c>
      <c r="Q32" s="23">
        <f t="shared" si="10"/>
        <v>180.50135677533234</v>
      </c>
      <c r="R32" s="12">
        <v>1.5576000000000001E-4</v>
      </c>
      <c r="S32" s="9"/>
      <c r="V32" s="27">
        <f>(N32-H32)/H32</f>
        <v>-0.1257884005430118</v>
      </c>
      <c r="Y32" s="9"/>
      <c r="Z32" s="27">
        <f t="shared" si="6"/>
        <v>1</v>
      </c>
      <c r="AA32" s="27">
        <f t="shared" si="7"/>
        <v>1</v>
      </c>
    </row>
    <row r="33" spans="1:27" ht="20" customHeight="1" x14ac:dyDescent="0.3">
      <c r="A33" t="s">
        <v>130</v>
      </c>
      <c r="B33" s="9">
        <v>9</v>
      </c>
      <c r="C33" s="9" t="s">
        <v>75</v>
      </c>
      <c r="D33" s="9">
        <v>1</v>
      </c>
      <c r="E33" s="13" t="s">
        <v>22</v>
      </c>
      <c r="F33" s="13">
        <v>1526</v>
      </c>
      <c r="G33" s="13">
        <v>108</v>
      </c>
      <c r="H33" s="32">
        <f t="shared" si="3"/>
        <v>3.9344975999999998E-4</v>
      </c>
      <c r="I33" s="32">
        <f t="shared" si="4"/>
        <v>1.6822080000000005E-5</v>
      </c>
      <c r="J33" s="21">
        <v>4.2371334751633362E-4</v>
      </c>
      <c r="K33" s="21">
        <v>2.7460915687134531E-5</v>
      </c>
      <c r="L33" s="22">
        <v>-312.74279999999999</v>
      </c>
      <c r="M33" s="13">
        <f t="shared" si="9"/>
        <v>0.73143801423523203</v>
      </c>
      <c r="N33" s="22">
        <f t="shared" si="11"/>
        <v>4.2129299682923003E-4</v>
      </c>
      <c r="O33" s="13">
        <f t="shared" si="8"/>
        <v>2.3407415023423913E-5</v>
      </c>
      <c r="P33" s="23">
        <f t="shared" si="1"/>
        <v>1704.7572985954673</v>
      </c>
      <c r="Q33" s="23">
        <f t="shared" si="10"/>
        <v>150.27873024797066</v>
      </c>
      <c r="R33" s="12">
        <v>1.5576000000000001E-4</v>
      </c>
      <c r="S33" s="9">
        <v>3</v>
      </c>
      <c r="T33">
        <v>8</v>
      </c>
      <c r="U33">
        <v>4</v>
      </c>
      <c r="V33" s="27">
        <f>(N33-H33)/H33</f>
        <v>7.0766943228609561E-2</v>
      </c>
      <c r="Y33" s="9">
        <v>-375.09109999999998</v>
      </c>
      <c r="Z33" s="27">
        <f t="shared" si="6"/>
        <v>0.6872266695895668</v>
      </c>
      <c r="AA33" s="27">
        <f t="shared" si="7"/>
        <v>0.67248955470767846</v>
      </c>
    </row>
    <row r="34" spans="1:27" ht="20" customHeight="1" x14ac:dyDescent="0.3">
      <c r="A34" t="s">
        <v>130</v>
      </c>
      <c r="B34" s="9">
        <v>9</v>
      </c>
      <c r="C34" s="9" t="s">
        <v>75</v>
      </c>
      <c r="D34" s="9">
        <v>2</v>
      </c>
      <c r="E34" s="13" t="s">
        <v>24</v>
      </c>
      <c r="F34" s="13">
        <v>2321</v>
      </c>
      <c r="G34" s="13">
        <v>101</v>
      </c>
      <c r="H34" s="32">
        <f t="shared" si="3"/>
        <v>5.172789600000001E-4</v>
      </c>
      <c r="I34" s="32">
        <f t="shared" si="4"/>
        <v>1.5731760000000001E-5</v>
      </c>
      <c r="J34" s="21">
        <v>4.2371334751633362E-4</v>
      </c>
      <c r="K34" s="21">
        <v>2.7460915687134531E-5</v>
      </c>
      <c r="L34" s="21">
        <v>-312.67140000000001</v>
      </c>
      <c r="M34" s="13">
        <f t="shared" si="9"/>
        <v>0.73149024077391367</v>
      </c>
      <c r="N34" s="22">
        <f t="shared" si="11"/>
        <v>5.8639122046871882E-4</v>
      </c>
      <c r="O34" s="13">
        <f t="shared" si="8"/>
        <v>2.2018466173260985E-5</v>
      </c>
      <c r="P34" s="23">
        <f t="shared" si="1"/>
        <v>2764.7099413759552</v>
      </c>
      <c r="Q34" s="23">
        <f t="shared" si="10"/>
        <v>141.36149315139306</v>
      </c>
      <c r="R34" s="12">
        <v>1.5576000000000001E-4</v>
      </c>
      <c r="S34" s="9">
        <v>4</v>
      </c>
      <c r="T34">
        <v>8</v>
      </c>
      <c r="U34">
        <v>4</v>
      </c>
      <c r="V34" s="27">
        <f>(N34-H34)/H34</f>
        <v>0.13360732953205504</v>
      </c>
      <c r="Y34" s="28">
        <v>-375.08920000000001</v>
      </c>
      <c r="Z34" s="27">
        <f t="shared" si="6"/>
        <v>0.68722797532147939</v>
      </c>
      <c r="AA34" s="27">
        <f t="shared" si="7"/>
        <v>0.67247388683733467</v>
      </c>
    </row>
    <row r="35" spans="1:27" ht="20" customHeight="1" x14ac:dyDescent="0.3">
      <c r="A35" t="s">
        <v>130</v>
      </c>
      <c r="B35" s="9">
        <v>9</v>
      </c>
      <c r="C35" s="9" t="s">
        <v>75</v>
      </c>
      <c r="D35" s="9">
        <v>3</v>
      </c>
      <c r="E35" s="9" t="s">
        <v>13</v>
      </c>
      <c r="F35" s="9">
        <v>2835</v>
      </c>
      <c r="G35" s="9">
        <v>353</v>
      </c>
      <c r="H35" s="32">
        <f t="shared" si="3"/>
        <v>5.973396E-4</v>
      </c>
      <c r="I35" s="32">
        <f t="shared" si="4"/>
        <v>5.4983280000000005E-5</v>
      </c>
      <c r="J35" s="13">
        <v>4.2371334751633362E-4</v>
      </c>
      <c r="K35" s="13">
        <v>2.7460915687134531E-5</v>
      </c>
      <c r="L35" s="9">
        <v>-369.47019999999998</v>
      </c>
      <c r="M35" s="13">
        <f t="shared" si="9"/>
        <v>0.691100378643281</v>
      </c>
      <c r="N35" s="22">
        <f>(4*(R35*(1+F35/1000))-2*J35*M35)/2</f>
        <v>9.0185074509524965E-4</v>
      </c>
      <c r="O35" s="13">
        <f>SQRT(((R35/(500))^2*(G35^2)) + ((M35)^2*(K35^2)))</f>
        <v>1.1159219624168119E-4</v>
      </c>
      <c r="P35" s="23">
        <f t="shared" si="1"/>
        <v>4790.0022155575862</v>
      </c>
      <c r="Q35" s="23">
        <f t="shared" si="10"/>
        <v>716.4368017570697</v>
      </c>
      <c r="R35" s="12">
        <v>1.5576000000000001E-4</v>
      </c>
      <c r="S35" s="9">
        <v>2</v>
      </c>
      <c r="T35">
        <v>8</v>
      </c>
      <c r="U35">
        <v>4</v>
      </c>
      <c r="V35" s="27">
        <f>(N35-H35)/H35</f>
        <v>0.50977893495634585</v>
      </c>
      <c r="Y35" s="9">
        <v>-318.20209999999997</v>
      </c>
      <c r="Z35" s="27">
        <f t="shared" si="6"/>
        <v>0.72745575474930924</v>
      </c>
      <c r="AA35" s="27">
        <f t="shared" si="7"/>
        <v>0.73957421345131868</v>
      </c>
    </row>
    <row r="36" spans="1:27" ht="20" hidden="1" customHeight="1" x14ac:dyDescent="0.3">
      <c r="A36" t="s">
        <v>122</v>
      </c>
      <c r="B36" s="9">
        <v>10</v>
      </c>
      <c r="C36" s="9" t="s">
        <v>131</v>
      </c>
      <c r="D36" s="9"/>
      <c r="E36" s="19" t="s">
        <v>76</v>
      </c>
      <c r="F36" s="9">
        <v>399</v>
      </c>
      <c r="G36" s="9">
        <v>17</v>
      </c>
      <c r="H36" s="32">
        <f t="shared" si="3"/>
        <v>2.1790824000000002E-4</v>
      </c>
      <c r="I36" s="32">
        <f t="shared" si="4"/>
        <v>2.6479200000000002E-6</v>
      </c>
      <c r="J36" s="13">
        <v>3.0013922692422821E-4</v>
      </c>
      <c r="K36" s="13">
        <v>3.647152864697555E-6</v>
      </c>
      <c r="L36" s="18"/>
      <c r="M36" s="13">
        <f t="shared" si="9"/>
        <v>1</v>
      </c>
      <c r="N36" s="22">
        <f>(4*(R36*(1+F36/1000))-J36*M36)/3</f>
        <v>1.904979110252573E-4</v>
      </c>
      <c r="O36" s="13">
        <f t="shared" si="8"/>
        <v>3.7340090049417039E-6</v>
      </c>
      <c r="P36" s="23">
        <f t="shared" si="1"/>
        <v>223.02202764032674</v>
      </c>
      <c r="Q36" s="23">
        <f t="shared" si="10"/>
        <v>23.972836446723829</v>
      </c>
      <c r="R36" s="12">
        <v>1.5576000000000001E-4</v>
      </c>
      <c r="S36" s="9"/>
      <c r="V36" s="27">
        <f>(N36-H36)/H36</f>
        <v>-0.12578840054301169</v>
      </c>
      <c r="Y36" s="9"/>
      <c r="Z36" s="27">
        <f t="shared" si="6"/>
        <v>1</v>
      </c>
      <c r="AA36" s="27">
        <f t="shared" si="7"/>
        <v>1</v>
      </c>
    </row>
    <row r="37" spans="1:27" ht="20" customHeight="1" x14ac:dyDescent="0.3">
      <c r="A37" t="s">
        <v>122</v>
      </c>
      <c r="B37" s="9">
        <v>10</v>
      </c>
      <c r="C37" s="9" t="s">
        <v>88</v>
      </c>
      <c r="D37" s="9">
        <v>1</v>
      </c>
      <c r="E37" s="13" t="s">
        <v>22</v>
      </c>
      <c r="F37" s="13">
        <v>614</v>
      </c>
      <c r="G37" s="13">
        <v>61</v>
      </c>
      <c r="H37" s="32">
        <f t="shared" si="3"/>
        <v>2.5139664000000002E-4</v>
      </c>
      <c r="I37" s="32">
        <f t="shared" si="4"/>
        <v>9.5013600000000008E-6</v>
      </c>
      <c r="J37" s="21">
        <v>3.0013922692422821E-4</v>
      </c>
      <c r="K37" s="21">
        <v>3.647152864697555E-6</v>
      </c>
      <c r="L37" s="22">
        <v>-312.74279999999999</v>
      </c>
      <c r="M37" s="13">
        <f t="shared" si="9"/>
        <v>0.73143801423523203</v>
      </c>
      <c r="N37" s="22">
        <f>(4*(R37*(1+F37/1000))-J37*M37)/3</f>
        <v>2.6201777328814833E-4</v>
      </c>
      <c r="O37" s="13">
        <f t="shared" si="8"/>
        <v>1.2699649657501389E-5</v>
      </c>
      <c r="P37" s="23">
        <f t="shared" ref="P37:P42" si="12">(N37/R37-1)*1000</f>
        <v>682.18909404306817</v>
      </c>
      <c r="Q37" s="23">
        <f t="shared" si="10"/>
        <v>81.533446696850206</v>
      </c>
      <c r="R37" s="12">
        <v>1.5576000000000001E-4</v>
      </c>
      <c r="S37" s="9">
        <v>3</v>
      </c>
      <c r="T37">
        <v>9</v>
      </c>
      <c r="U37">
        <v>2</v>
      </c>
      <c r="V37" s="27">
        <f>(N37-H37)/H37</f>
        <v>4.2248509320364447E-2</v>
      </c>
      <c r="Y37" s="9">
        <v>-375.09109999999998</v>
      </c>
      <c r="Z37" s="27">
        <f t="shared" si="6"/>
        <v>0.6872266695895668</v>
      </c>
      <c r="AA37" s="27">
        <f t="shared" si="7"/>
        <v>0.67248955470767846</v>
      </c>
    </row>
    <row r="38" spans="1:27" ht="20" customHeight="1" x14ac:dyDescent="0.3">
      <c r="A38" t="s">
        <v>121</v>
      </c>
      <c r="B38" s="9">
        <v>10</v>
      </c>
      <c r="C38" s="9" t="s">
        <v>88</v>
      </c>
      <c r="D38" s="9">
        <v>2</v>
      </c>
      <c r="E38" s="13" t="s">
        <v>24</v>
      </c>
      <c r="F38" s="13">
        <v>510</v>
      </c>
      <c r="G38" s="13">
        <v>53</v>
      </c>
      <c r="H38" s="32">
        <f t="shared" si="3"/>
        <v>2.3519760000000002E-4</v>
      </c>
      <c r="I38" s="32">
        <f t="shared" si="4"/>
        <v>8.2552800000000007E-6</v>
      </c>
      <c r="J38" s="21">
        <v>3.0013922692422821E-4</v>
      </c>
      <c r="K38" s="21">
        <v>3.647152864697555E-6</v>
      </c>
      <c r="L38" s="21">
        <v>-312.67140000000001</v>
      </c>
      <c r="M38" s="13">
        <f t="shared" si="9"/>
        <v>0.73149024077391367</v>
      </c>
      <c r="N38" s="22">
        <f>(4*(R38*(1+F38/1000))-J38*M38)/3</f>
        <v>2.4041382821050002E-4</v>
      </c>
      <c r="O38" s="13">
        <f t="shared" si="8"/>
        <v>1.1042905342199125E-5</v>
      </c>
      <c r="P38" s="23">
        <f t="shared" si="12"/>
        <v>543.48888168014889</v>
      </c>
      <c r="Q38" s="23">
        <f t="shared" si="10"/>
        <v>70.896926952998996</v>
      </c>
      <c r="R38" s="12">
        <v>1.5576000000000001E-4</v>
      </c>
      <c r="S38" s="9">
        <v>4</v>
      </c>
      <c r="T38">
        <v>9</v>
      </c>
      <c r="U38">
        <v>2</v>
      </c>
      <c r="V38" s="27">
        <f>(N38-H38)/H38</f>
        <v>2.2178067337846993E-2</v>
      </c>
      <c r="Y38" s="28">
        <v>-375.08920000000001</v>
      </c>
      <c r="Z38" s="27">
        <f t="shared" si="6"/>
        <v>0.68722797532147939</v>
      </c>
      <c r="AA38" s="27">
        <f t="shared" si="7"/>
        <v>0.67247388683733467</v>
      </c>
    </row>
    <row r="39" spans="1:27" ht="20" customHeight="1" x14ac:dyDescent="0.3">
      <c r="A39" t="s">
        <v>121</v>
      </c>
      <c r="B39" s="9">
        <v>10</v>
      </c>
      <c r="C39" s="9" t="s">
        <v>88</v>
      </c>
      <c r="D39" s="9">
        <v>4</v>
      </c>
      <c r="E39" s="13" t="s">
        <v>30</v>
      </c>
      <c r="F39" s="13">
        <v>2432</v>
      </c>
      <c r="G39" s="13">
        <v>11</v>
      </c>
      <c r="H39" s="32">
        <f t="shared" si="3"/>
        <v>5.3456832000000004E-4</v>
      </c>
      <c r="I39" s="32">
        <f t="shared" si="4"/>
        <v>1.7133600000000001E-6</v>
      </c>
      <c r="J39" s="21">
        <v>3.0013922692422821E-4</v>
      </c>
      <c r="K39" s="21">
        <v>3.647152864697555E-6</v>
      </c>
      <c r="L39" s="13">
        <v>-149.7405</v>
      </c>
      <c r="M39" s="13">
        <f t="shared" si="9"/>
        <v>0.86093135912759222</v>
      </c>
      <c r="N39" s="22">
        <f>(8*(R39*(1+F39/1000))-J39*M39)/7</f>
        <v>5.7402104106237418E-4</v>
      </c>
      <c r="O39" s="13">
        <f>SQRT(((8*R39/(7*1000))^2*(G39^2)) + ((M39/7)^2*(K39^2)))</f>
        <v>2.0088469354330886E-6</v>
      </c>
      <c r="P39" s="23">
        <f t="shared" si="12"/>
        <v>2685.2917376885857</v>
      </c>
      <c r="Q39" s="23">
        <f>(1000*O39/R39)</f>
        <v>12.897065584444583</v>
      </c>
      <c r="R39" s="12">
        <v>1.5576000000000001E-4</v>
      </c>
      <c r="S39" s="9">
        <v>5</v>
      </c>
      <c r="T39">
        <v>9</v>
      </c>
      <c r="U39">
        <v>2</v>
      </c>
      <c r="V39" s="27">
        <f>(N39-H39)/H39</f>
        <v>7.380295387196556E-2</v>
      </c>
      <c r="Y39" s="9">
        <v>-346.4067</v>
      </c>
      <c r="Z39" s="27">
        <f t="shared" si="6"/>
        <v>0.70722480028307644</v>
      </c>
      <c r="AA39" s="27">
        <f t="shared" si="7"/>
        <v>0.65598928066823781</v>
      </c>
    </row>
    <row r="40" spans="1:27" ht="20" customHeight="1" x14ac:dyDescent="0.3">
      <c r="A40" t="s">
        <v>121</v>
      </c>
      <c r="B40" s="9">
        <v>10</v>
      </c>
      <c r="C40" s="9" t="s">
        <v>88</v>
      </c>
      <c r="D40" s="9">
        <v>5</v>
      </c>
      <c r="E40" s="13" t="s">
        <v>43</v>
      </c>
      <c r="F40" s="13">
        <v>2266</v>
      </c>
      <c r="G40" s="13">
        <v>101</v>
      </c>
      <c r="H40" s="32">
        <f t="shared" si="3"/>
        <v>5.0871216000000004E-4</v>
      </c>
      <c r="I40" s="32">
        <f t="shared" si="4"/>
        <v>1.5731760000000001E-5</v>
      </c>
      <c r="J40" s="21">
        <v>3.0013922692422821E-4</v>
      </c>
      <c r="K40" s="21">
        <v>3.647152864697555E-6</v>
      </c>
      <c r="L40" s="13">
        <v>-278.6789</v>
      </c>
      <c r="M40" s="13">
        <f t="shared" si="9"/>
        <v>0.75678286718374732</v>
      </c>
      <c r="N40" s="22">
        <f>(8*(R40*(1+F40/1000))-J40*M40)/7</f>
        <v>5.489367221848528E-4</v>
      </c>
      <c r="O40" s="13">
        <f>SQRT(((8*R40/(7*1000))^2*(G40^2)) + ((M40/7)^2*(K40^2)))</f>
        <v>1.798347746224807E-5</v>
      </c>
      <c r="P40" s="23">
        <f t="shared" si="12"/>
        <v>2524.2470607656187</v>
      </c>
      <c r="Q40" s="23">
        <f t="shared" si="10"/>
        <v>115.45632679923003</v>
      </c>
      <c r="R40" s="12">
        <v>1.5576000000000001E-4</v>
      </c>
      <c r="S40" s="9">
        <v>6</v>
      </c>
      <c r="T40">
        <v>9</v>
      </c>
      <c r="U40">
        <v>2</v>
      </c>
      <c r="V40" s="27">
        <f>(N40-H40)/H40</f>
        <v>7.9071359695535401E-2</v>
      </c>
      <c r="Y40" s="9">
        <v>-365.51690000000002</v>
      </c>
      <c r="Z40" s="27">
        <f t="shared" si="6"/>
        <v>0.69383791335284084</v>
      </c>
      <c r="AA40" s="27">
        <f t="shared" si="7"/>
        <v>0.67285626207587201</v>
      </c>
    </row>
    <row r="41" spans="1:27" ht="20" customHeight="1" x14ac:dyDescent="0.3">
      <c r="A41" t="s">
        <v>121</v>
      </c>
      <c r="B41" s="9">
        <v>10</v>
      </c>
      <c r="C41" s="9" t="s">
        <v>88</v>
      </c>
      <c r="D41" s="9">
        <v>6</v>
      </c>
      <c r="E41" s="13" t="s">
        <v>94</v>
      </c>
      <c r="F41" s="13">
        <v>1819</v>
      </c>
      <c r="G41" s="13">
        <v>27</v>
      </c>
      <c r="H41" s="32">
        <f t="shared" si="3"/>
        <v>4.3908744000000004E-4</v>
      </c>
      <c r="I41" s="32">
        <f t="shared" si="4"/>
        <v>4.2055200000000012E-6</v>
      </c>
      <c r="J41" s="21">
        <v>3.0013922692422821E-4</v>
      </c>
      <c r="K41" s="21">
        <v>3.647152864697555E-6</v>
      </c>
      <c r="L41" s="13">
        <v>-278.73500000000001</v>
      </c>
      <c r="M41" s="13">
        <f t="shared" si="9"/>
        <v>0.75674041285575333</v>
      </c>
      <c r="N41" s="22">
        <f>(11*(R41*(1+F41/1000))-J41*M41)/10</f>
        <v>4.6028343575031541E-4</v>
      </c>
      <c r="O41" s="13">
        <f>SQRT(((11*R41/(10*1000))^2*(G41^2)) + ((M41/10)^2*(K41^2)))</f>
        <v>4.6342977112887193E-6</v>
      </c>
      <c r="P41" s="23">
        <f t="shared" si="12"/>
        <v>1955.0811232043875</v>
      </c>
      <c r="Q41" s="23">
        <f t="shared" si="10"/>
        <v>29.752810164925009</v>
      </c>
      <c r="R41" s="12">
        <v>1.5576000000000001E-4</v>
      </c>
      <c r="S41" s="9">
        <v>7</v>
      </c>
      <c r="T41">
        <v>9</v>
      </c>
      <c r="U41">
        <v>2</v>
      </c>
      <c r="V41" s="27">
        <f>(N41-H41)/H41</f>
        <v>4.8272835475128541E-2</v>
      </c>
      <c r="Y41" s="9">
        <v>-366.1866</v>
      </c>
      <c r="Z41" s="27">
        <f t="shared" si="6"/>
        <v>0.69337340566003025</v>
      </c>
      <c r="AA41" s="27">
        <f t="shared" si="7"/>
        <v>0.67225106992812256</v>
      </c>
    </row>
    <row r="42" spans="1:27" ht="20" customHeight="1" x14ac:dyDescent="0.3">
      <c r="A42" t="s">
        <v>121</v>
      </c>
      <c r="B42" s="9">
        <v>10</v>
      </c>
      <c r="C42" s="9" t="s">
        <v>88</v>
      </c>
      <c r="D42" s="9">
        <v>3</v>
      </c>
      <c r="E42" s="9" t="s">
        <v>13</v>
      </c>
      <c r="F42" s="9">
        <v>1063</v>
      </c>
      <c r="G42" s="9">
        <v>47</v>
      </c>
      <c r="H42" s="32">
        <f t="shared" si="3"/>
        <v>3.2133287999999997E-4</v>
      </c>
      <c r="I42" s="32">
        <f t="shared" si="4"/>
        <v>7.3207200000000015E-6</v>
      </c>
      <c r="J42" s="13">
        <v>3.0013922692422821E-4</v>
      </c>
      <c r="K42" s="13">
        <v>3.647152864697555E-6</v>
      </c>
      <c r="L42" s="9">
        <v>-369.47019999999998</v>
      </c>
      <c r="M42" s="13">
        <f t="shared" si="9"/>
        <v>0.691100378643281</v>
      </c>
      <c r="N42" s="22">
        <f>(4*(R42*(1+F42/1000))-2*J42*M42)/2</f>
        <v>4.352394266269642E-4</v>
      </c>
      <c r="O42" s="13">
        <f>SQRT(((R42/(500))^2*(G42^2)) + ((M42)^2*(K42^2)))</f>
        <v>1.485681430026446E-5</v>
      </c>
      <c r="P42" s="23">
        <f t="shared" si="12"/>
        <v>1794.2952402861079</v>
      </c>
      <c r="Q42" s="23">
        <f t="shared" si="10"/>
        <v>95.38273176851861</v>
      </c>
      <c r="R42" s="12">
        <v>1.5576000000000001E-4</v>
      </c>
      <c r="S42" s="9">
        <v>2</v>
      </c>
      <c r="T42">
        <v>9</v>
      </c>
      <c r="U42">
        <v>2</v>
      </c>
      <c r="V42" s="27">
        <f>(N42-H42)/H42</f>
        <v>0.35448145433160849</v>
      </c>
      <c r="Y42" s="9">
        <v>-318.20209999999997</v>
      </c>
      <c r="Z42" s="27">
        <f t="shared" si="6"/>
        <v>0.72745575474930924</v>
      </c>
      <c r="AA42" s="27">
        <f t="shared" si="7"/>
        <v>0.73957421345131868</v>
      </c>
    </row>
    <row r="43" spans="1:27" x14ac:dyDescent="0.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Y43" s="9"/>
    </row>
    <row r="44" spans="1:27" x14ac:dyDescent="0.3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Y44" s="9"/>
    </row>
    <row r="45" spans="1:27" x14ac:dyDescent="0.3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Y45" s="9"/>
    </row>
    <row r="46" spans="1:27" x14ac:dyDescent="0.3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Y46" s="9"/>
    </row>
    <row r="47" spans="1:27" x14ac:dyDescent="0.3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Y47" s="9"/>
    </row>
    <row r="48" spans="1:27" x14ac:dyDescent="0.3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Y48" s="9"/>
    </row>
    <row r="49" spans="2:25" x14ac:dyDescent="0.3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Y49" s="9"/>
    </row>
    <row r="50" spans="2:25" x14ac:dyDescent="0.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Y50" s="9"/>
    </row>
    <row r="51" spans="2:25" x14ac:dyDescent="0.3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Y51" s="9"/>
    </row>
    <row r="52" spans="2:25" x14ac:dyDescent="0.3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Y52" s="9"/>
    </row>
    <row r="53" spans="2:25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Y53" s="9"/>
    </row>
    <row r="54" spans="2:25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Y54" s="9"/>
    </row>
    <row r="55" spans="2:25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Y55" s="9"/>
    </row>
    <row r="56" spans="2:25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Y56" s="9"/>
    </row>
  </sheetData>
  <sortState xmlns:xlrd2="http://schemas.microsoft.com/office/spreadsheetml/2017/richdata2" ref="V3:V42">
    <sortCondition ref="V3:V42"/>
  </sortState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F982-4E78-484E-A16F-ED2D599D7418}">
  <dimension ref="A1:D11"/>
  <sheetViews>
    <sheetView workbookViewId="0">
      <selection activeCell="H4" sqref="H4"/>
    </sheetView>
  </sheetViews>
  <sheetFormatPr defaultRowHeight="12.75" x14ac:dyDescent="0.3"/>
  <cols>
    <col min="1" max="4" width="20.640625" style="2" customWidth="1"/>
  </cols>
  <sheetData>
    <row r="1" spans="1:4" ht="21.4" customHeight="1" x14ac:dyDescent="0.3">
      <c r="A1" s="29" t="s">
        <v>132</v>
      </c>
      <c r="B1" s="29" t="s">
        <v>134</v>
      </c>
      <c r="C1" s="29" t="s">
        <v>135</v>
      </c>
      <c r="D1" s="29" t="s">
        <v>133</v>
      </c>
    </row>
    <row r="2" spans="1:4" s="31" customFormat="1" ht="30" customHeight="1" x14ac:dyDescent="0.3">
      <c r="A2" s="30" t="s">
        <v>122</v>
      </c>
      <c r="B2" s="30">
        <v>3023</v>
      </c>
      <c r="C2" s="30">
        <v>543</v>
      </c>
      <c r="D2" s="30"/>
    </row>
    <row r="3" spans="1:4" s="31" customFormat="1" ht="30" customHeight="1" x14ac:dyDescent="0.3">
      <c r="A3" s="30" t="s">
        <v>125</v>
      </c>
      <c r="B3" s="30">
        <v>4290</v>
      </c>
      <c r="C3" s="30">
        <v>1250</v>
      </c>
      <c r="D3" s="30"/>
    </row>
    <row r="4" spans="1:4" s="31" customFormat="1" ht="30" customHeight="1" x14ac:dyDescent="0.3">
      <c r="A4" s="30" t="s">
        <v>127</v>
      </c>
      <c r="B4" s="30">
        <v>2660</v>
      </c>
      <c r="C4" s="30">
        <v>429</v>
      </c>
      <c r="D4" s="30"/>
    </row>
    <row r="5" spans="1:4" s="31" customFormat="1" ht="30" customHeight="1" x14ac:dyDescent="0.3">
      <c r="A5" s="30" t="s">
        <v>130</v>
      </c>
      <c r="B5" s="30">
        <v>1700</v>
      </c>
      <c r="C5" s="30">
        <v>3490</v>
      </c>
      <c r="D5" s="30"/>
    </row>
    <row r="6" spans="1:4" s="31" customFormat="1" ht="30" customHeight="1" x14ac:dyDescent="0.3">
      <c r="A6" s="30" t="s">
        <v>136</v>
      </c>
      <c r="B6" s="30">
        <v>-880</v>
      </c>
      <c r="C6" s="30">
        <v>-840</v>
      </c>
      <c r="D6" t="s">
        <v>137</v>
      </c>
    </row>
    <row r="7" spans="1:4" s="31" customFormat="1" ht="30" customHeight="1" x14ac:dyDescent="0.3">
      <c r="A7" s="30" t="s">
        <v>138</v>
      </c>
      <c r="B7" s="30">
        <v>-200</v>
      </c>
      <c r="C7" s="30">
        <v>300</v>
      </c>
      <c r="D7" t="s">
        <v>139</v>
      </c>
    </row>
    <row r="8" spans="1:4" s="31" customFormat="1" ht="30" customHeight="1" x14ac:dyDescent="0.3">
      <c r="A8" t="s">
        <v>140</v>
      </c>
      <c r="B8" s="30">
        <v>1000</v>
      </c>
      <c r="C8" s="30">
        <v>5000</v>
      </c>
      <c r="D8" t="s">
        <v>142</v>
      </c>
    </row>
    <row r="9" spans="1:4" s="31" customFormat="1" ht="30" customHeight="1" x14ac:dyDescent="0.3">
      <c r="A9" t="s">
        <v>141</v>
      </c>
      <c r="B9" s="30">
        <v>500</v>
      </c>
      <c r="C9" s="30">
        <v>3000</v>
      </c>
      <c r="D9" s="30"/>
    </row>
    <row r="10" spans="1:4" ht="30" customHeight="1" x14ac:dyDescent="0.3">
      <c r="A10" s="2" t="s">
        <v>143</v>
      </c>
      <c r="B10" s="2">
        <v>300</v>
      </c>
      <c r="C10" s="2">
        <v>2400</v>
      </c>
      <c r="D10" t="s">
        <v>144</v>
      </c>
    </row>
    <row r="11" spans="1:4" ht="39.4" customHeight="1" x14ac:dyDescent="0.3"/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287466-0F37-4CBD-B273-28BEC4A88C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文献数据</vt:lpstr>
      <vt:lpstr>表4</vt:lpstr>
      <vt:lpstr>Rwater</vt:lpstr>
      <vt:lpstr>Sheet2</vt:lpstr>
      <vt:lpstr>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23693</dc:creator>
  <cp:lastModifiedBy>2369331710@qq.com</cp:lastModifiedBy>
  <dcterms:created xsi:type="dcterms:W3CDTF">2025-09-08T13:39:41Z</dcterms:created>
  <dcterms:modified xsi:type="dcterms:W3CDTF">2026-05-22T06:08:38Z</dcterms:modified>
</cp:coreProperties>
</file>